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n\JOB\THUCTAP\NHT\Payslip\Mẫu nhập\"/>
    </mc:Choice>
  </mc:AlternateContent>
  <xr:revisionPtr revIDLastSave="0" documentId="13_ncr:1_{D4C5A7BF-6472-4342-BB9A-35D6F88EA188}" xr6:coauthVersionLast="47" xr6:coauthVersionMax="47" xr10:uidLastSave="{00000000-0000-0000-0000-000000000000}"/>
  <bookViews>
    <workbookView xWindow="-110" yWindow="-110" windowWidth="19420" windowHeight="11500" activeTab="3" xr2:uid="{E78F4DFD-1167-45B0-99FC-E4DD07682841}"/>
  </bookViews>
  <sheets>
    <sheet name="GV" sheetId="2" r:id="rId1"/>
    <sheet name="VP" sheetId="1" r:id="rId2"/>
    <sheet name="CK" sheetId="3" r:id="rId3"/>
    <sheet name="GV_BH" sheetId="5" r:id="rId4"/>
    <sheet name="VP_BH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4" i="5" l="1"/>
  <c r="Q8" i="5" s="1"/>
  <c r="H64" i="2"/>
  <c r="AK5" i="5"/>
  <c r="F60" i="5"/>
  <c r="H55" i="5"/>
  <c r="F51" i="5"/>
  <c r="H50" i="5"/>
  <c r="H49" i="5"/>
  <c r="H51" i="5" s="1"/>
  <c r="F46" i="5"/>
  <c r="H45" i="5"/>
  <c r="H44" i="5"/>
  <c r="H46" i="5" s="1"/>
  <c r="H41" i="5"/>
  <c r="F41" i="5"/>
  <c r="H40" i="5"/>
  <c r="H39" i="5"/>
  <c r="F33" i="5"/>
  <c r="H32" i="5"/>
  <c r="H31" i="5"/>
  <c r="H30" i="5"/>
  <c r="H29" i="5"/>
  <c r="H28" i="5"/>
  <c r="H27" i="5"/>
  <c r="H26" i="5"/>
  <c r="H25" i="5"/>
  <c r="H24" i="5"/>
  <c r="H23" i="5"/>
  <c r="H33" i="5" s="1"/>
  <c r="H55" i="2"/>
  <c r="H49" i="2"/>
  <c r="N8" i="4"/>
  <c r="N7" i="4"/>
  <c r="Q7" i="5"/>
  <c r="T5" i="5"/>
  <c r="S5" i="5"/>
  <c r="AE5" i="5"/>
  <c r="V5" i="5"/>
  <c r="Y5" i="5" s="1"/>
  <c r="S5" i="4"/>
  <c r="P5" i="4"/>
  <c r="Q5" i="4" s="1"/>
  <c r="AA5" i="4"/>
  <c r="E23" i="3"/>
  <c r="E22" i="3"/>
  <c r="E20" i="3"/>
  <c r="E19" i="3"/>
  <c r="E18" i="3"/>
  <c r="E17" i="3"/>
  <c r="E12" i="4"/>
  <c r="E23" i="4" s="1"/>
  <c r="E26" i="4" s="1"/>
  <c r="E23" i="1"/>
  <c r="E12" i="1"/>
  <c r="E26" i="1" s="1"/>
  <c r="X5" i="5" l="1"/>
  <c r="AD5" i="5"/>
  <c r="AG5" i="5" s="1"/>
  <c r="AF5" i="5"/>
  <c r="W5" i="5"/>
  <c r="AA5" i="5" s="1"/>
  <c r="AH5" i="5"/>
  <c r="AI5" i="5" s="1"/>
  <c r="T5" i="4"/>
  <c r="U5" i="4"/>
  <c r="AB5" i="4"/>
  <c r="V5" i="4"/>
  <c r="AC5" i="4"/>
  <c r="AD5" i="4" l="1"/>
  <c r="X5" i="4"/>
  <c r="AE5" i="4" l="1"/>
  <c r="AF5" i="4" s="1"/>
  <c r="AH5" i="4" s="1"/>
  <c r="F51" i="2"/>
  <c r="F46" i="2"/>
  <c r="F33" i="2"/>
  <c r="F41" i="2"/>
  <c r="H50" i="2"/>
  <c r="H51" i="2"/>
  <c r="H44" i="2"/>
  <c r="H45" i="2"/>
  <c r="H40" i="2"/>
  <c r="F60" i="2"/>
  <c r="H27" i="2"/>
  <c r="H46" i="2" l="1"/>
  <c r="H23" i="2"/>
  <c r="H24" i="2"/>
  <c r="H25" i="2"/>
  <c r="H26" i="2"/>
  <c r="H28" i="2"/>
  <c r="H29" i="2"/>
  <c r="H30" i="2"/>
  <c r="H31" i="2"/>
  <c r="H32" i="2"/>
  <c r="H39" i="2"/>
  <c r="H41" i="2" s="1"/>
  <c r="H33" i="2" l="1"/>
</calcChain>
</file>

<file path=xl/sharedStrings.xml><?xml version="1.0" encoding="utf-8"?>
<sst xmlns="http://schemas.openxmlformats.org/spreadsheetml/2006/main" count="345" uniqueCount="124">
  <si>
    <t>Đơn vị:</t>
  </si>
  <si>
    <t>TRUNG TÂM ANH NGỮ CARE EDUCATION</t>
  </si>
  <si>
    <t>Địa chỉ:</t>
  </si>
  <si>
    <t>90/1 Trần Khắc Chân, Phường 9, Quận Phú Nhuận, TP. HCM (Cơ sở 1)</t>
  </si>
  <si>
    <t>233 Lê Trọng Tấn, Phường Sơn Kỳ, Quận Tân Phú, TP. HCM (Cơ sở 2)</t>
  </si>
  <si>
    <t>SĐT:</t>
  </si>
  <si>
    <t>0909502486</t>
  </si>
  <si>
    <t>PHIẾU THANH TOÁN TIỀN LƯƠNG_THÁNG .../2026</t>
  </si>
  <si>
    <t>VND</t>
  </si>
  <si>
    <t>Họ tên:</t>
  </si>
  <si>
    <t>Phòng ban:</t>
  </si>
  <si>
    <t>Số ngày công:</t>
  </si>
  <si>
    <t>Ngày nghỉ bù:</t>
  </si>
  <si>
    <t>Ngày nghỉ không tính phép:</t>
  </si>
  <si>
    <t>Ngày nghỉ tính phép:</t>
  </si>
  <si>
    <t>Ngân hàng:</t>
  </si>
  <si>
    <t>STK:</t>
  </si>
  <si>
    <t>MỨC LƯƠNG</t>
  </si>
  <si>
    <t>TỔNG TIỀN LƯƠNG</t>
  </si>
  <si>
    <t>Lương cơ bản</t>
  </si>
  <si>
    <t>Lương</t>
  </si>
  <si>
    <t>TỔNG (1)</t>
  </si>
  <si>
    <t>CÁC KHOẢN TRỪ VÀO LƯƠNG (2)</t>
  </si>
  <si>
    <t>BHXH + BHYT + BHTN (10.5%)</t>
  </si>
  <si>
    <t>TỔNG LƯƠNG THỰC LÃNH (3)=(1)-(2)</t>
  </si>
  <si>
    <t>THÁNG:</t>
  </si>
  <si>
    <t>NĂM:</t>
  </si>
  <si>
    <t>HỌ VÀ TÊN:</t>
  </si>
  <si>
    <t>BỘ PHẬN:</t>
  </si>
  <si>
    <t>HỌC THUẬT</t>
  </si>
  <si>
    <t>CHỨC VỤ:</t>
  </si>
  <si>
    <t>GIÁO VIÊN</t>
  </si>
  <si>
    <t>NGÂN HÀNG:</t>
  </si>
  <si>
    <t>1.1.</t>
  </si>
  <si>
    <t>MỨC LƯƠNG DẠY LỚP CHUNG</t>
  </si>
  <si>
    <t>1.2.</t>
  </si>
  <si>
    <t>MỨC LƯƠNG DẠY LỚP KÈM</t>
  </si>
  <si>
    <t>1.3.</t>
  </si>
  <si>
    <t>MỨC LƯƠNG DẠY PHỤ ĐẠO</t>
  </si>
  <si>
    <t>1.4.</t>
  </si>
  <si>
    <t>LƯƠNG VĂN PHÒNG</t>
  </si>
  <si>
    <t>1.5.</t>
  </si>
  <si>
    <t>MỨC LƯƠNG ĐÓNG BẢO HIỂM</t>
  </si>
  <si>
    <t>TIỀN LƯƠNG</t>
  </si>
  <si>
    <t>2.1.</t>
  </si>
  <si>
    <t>Lớp chung</t>
  </si>
  <si>
    <t>Ngày</t>
  </si>
  <si>
    <t>Thứ</t>
  </si>
  <si>
    <t>Lớp</t>
  </si>
  <si>
    <t>Giờ vào</t>
  </si>
  <si>
    <t>Giờ kết thúc</t>
  </si>
  <si>
    <t>Tổng giờ</t>
  </si>
  <si>
    <t>Thành tiền</t>
  </si>
  <si>
    <t>2.2.</t>
  </si>
  <si>
    <t>Lớp phụ đạo</t>
  </si>
  <si>
    <t>TỔNG (2)</t>
  </si>
  <si>
    <t>2.3.</t>
  </si>
  <si>
    <t>Lớp kèm</t>
  </si>
  <si>
    <t>TỔNG (3)</t>
  </si>
  <si>
    <t>2.4.</t>
  </si>
  <si>
    <t>Lớp phụ đạo kèm</t>
  </si>
  <si>
    <t>Placement test</t>
  </si>
  <si>
    <t>HỌC VIÊN</t>
  </si>
  <si>
    <t>BÀI TEST</t>
  </si>
  <si>
    <t>TỔNG (4)</t>
  </si>
  <si>
    <t>2.5.</t>
  </si>
  <si>
    <t>Lương văn phòng</t>
  </si>
  <si>
    <t>TỔNG (5)</t>
  </si>
  <si>
    <t>TIỀN BẢO HIỂM TRỪ VÀO LƯƠNG (6)</t>
  </si>
  <si>
    <t>CÒN LẠI THỰC NHẬN ((1)+(2)+(3)+(4))</t>
  </si>
  <si>
    <t>PHIẾU THANH TOÁN TIỀN LƯƠNG_ THÁNG .../2026</t>
  </si>
  <si>
    <t>Lương theo giờ</t>
  </si>
  <si>
    <t xml:space="preserve">ĐƠN VỊ TÍNH: </t>
  </si>
  <si>
    <t>Năm:</t>
  </si>
  <si>
    <t>Tháng:</t>
  </si>
  <si>
    <t>Đơn vị tính:</t>
  </si>
  <si>
    <t>Công ty TNHH CARE EDUCATION</t>
  </si>
  <si>
    <t xml:space="preserve">90/1 Trần Khắc Chân, Phường  Đức Nhuận, TP. HCM </t>
  </si>
  <si>
    <t xml:space="preserve">Lương căn bản </t>
  </si>
  <si>
    <t>Thưởng</t>
  </si>
  <si>
    <t>Tổng</t>
  </si>
  <si>
    <t>BHXH (8%)</t>
  </si>
  <si>
    <t>BHYT (1.5%)</t>
  </si>
  <si>
    <t>BHTN (1%)</t>
  </si>
  <si>
    <t>Thuế TNCN</t>
  </si>
  <si>
    <t>Tổng</t>
  </si>
  <si>
    <t>Trân trọng</t>
  </si>
  <si>
    <t>Hỗ trợ</t>
  </si>
  <si>
    <t>Số giờ công:</t>
  </si>
  <si>
    <t>Tháng</t>
  </si>
  <si>
    <t>Họ và tên</t>
  </si>
  <si>
    <t>Tài khoản</t>
  </si>
  <si>
    <t>Ngày Công thực tế</t>
  </si>
  <si>
    <t>LƯƠNG CHÍNH</t>
  </si>
  <si>
    <t>PHỤ CẤP CƠM</t>
  </si>
  <si>
    <t>TỔNG LƯƠNG (GROSS)</t>
  </si>
  <si>
    <t>Thu Nhập Chịu Thuế</t>
  </si>
  <si>
    <t>Hỗ trợ công tác</t>
  </si>
  <si>
    <t>Lương đóng BH</t>
  </si>
  <si>
    <t>Khoản trích tính vào CPSXKD</t>
  </si>
  <si>
    <t>Giảm trừ</t>
  </si>
  <si>
    <t>Các khoản trừ vào lương</t>
  </si>
  <si>
    <t>Thực 
lĩnh</t>
  </si>
  <si>
    <t>BHXH</t>
  </si>
  <si>
    <t>BHYT</t>
  </si>
  <si>
    <t>BHTN</t>
  </si>
  <si>
    <t>KPCĐ</t>
  </si>
  <si>
    <t>Cộng</t>
  </si>
  <si>
    <t>Gia cảnh</t>
  </si>
  <si>
    <t>Bản thân</t>
  </si>
  <si>
    <t>Cộng BH
bắt buộc</t>
  </si>
  <si>
    <t>Thu nhập tính thuế</t>
  </si>
  <si>
    <t>Thuế 
TNCN</t>
  </si>
  <si>
    <t>Tạm
Ứng</t>
  </si>
  <si>
    <t>LƯƠNG CHUYỂN KHOẢN:</t>
  </si>
  <si>
    <t>NHẬN LƯƠNG TIỀN MẶT:</t>
  </si>
  <si>
    <t>CÁC KHOẢN 
TRỪ VÀO LƯƠNG</t>
  </si>
  <si>
    <t xml:space="preserve">  </t>
  </si>
  <si>
    <t>Phụ cấp cơm</t>
  </si>
  <si>
    <t>Lương tháng 13</t>
  </si>
  <si>
    <t>1.6.</t>
  </si>
  <si>
    <t>MỨC LƯƠNG DẠY PHỤ ĐẠO KÈM</t>
  </si>
  <si>
    <t>1.7.</t>
  </si>
  <si>
    <t>LƯƠNG PLACEMENT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</si>
</sst>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* #,##0\ _₫_-;\-* #,##0\ _₫_-;_-* &quot;-&quot;??\ _₫_-;_-@_-"/>
    <numFmt numFmtId="165" formatCode="#,##0;[Red]#,##0"/>
    <numFmt numFmtId="166" formatCode="d/m/yyyy"/>
    <numFmt numFmtId="167" formatCode="_-* #,##0.0_-;\-* #,##0.0_-;_-* &quot;-&quot;??_-;_-@"/>
    <numFmt numFmtId="168" formatCode="_-* #,##0\ _₫_-;\-* #,##0\ _₫_-;_-* &quot;-&quot;\ _₫_-;_-@_-"/>
    <numFmt numFmtId="169" formatCode="0.0%"/>
  </numFmts>
  <fonts count="30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20"/>
      <color theme="1"/>
      <name val="Cambria"/>
      <family val="1"/>
    </font>
    <font>
      <b/>
      <sz val="13"/>
      <color theme="1"/>
      <name val="Cambria"/>
      <family val="1"/>
    </font>
    <font>
      <sz val="13"/>
      <color theme="1"/>
      <name val="Cambria"/>
      <family val="1"/>
    </font>
    <font>
      <sz val="13"/>
      <color rgb="FF000000"/>
      <name val="Cambria"/>
      <family val="1"/>
    </font>
    <font>
      <b/>
      <sz val="11"/>
      <color theme="1"/>
      <name val="Calibri"/>
      <family val="2"/>
      <scheme val="minor"/>
    </font>
    <font>
      <b/>
      <sz val="13"/>
      <color rgb="FFFF0000"/>
      <name val="Cambria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3"/>
      <color rgb="FFA61C00"/>
      <name val="Times New Roman"/>
      <family val="1"/>
    </font>
    <font>
      <sz val="11"/>
      <color rgb="FF000000"/>
      <name val="Times New Roman"/>
      <family val="1"/>
    </font>
    <font>
      <b/>
      <sz val="12"/>
      <color rgb="FFA61C00"/>
      <name val="Times New Roman"/>
      <family val="1"/>
    </font>
    <font>
      <b/>
      <sz val="13"/>
      <color rgb="FFFF0000"/>
      <name val="Times New Roman"/>
      <family val="1"/>
    </font>
    <font>
      <b/>
      <i/>
      <u/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7474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6C6"/>
        <bgColor indexed="64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2F3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 style="thin">
        <color rgb="FF4472C4"/>
      </left>
      <right style="thin">
        <color rgb="FF4472C4"/>
      </right>
      <top/>
      <bottom/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medium">
        <color auto="1"/>
      </top>
      <bottom style="thin">
        <color rgb="FF4472C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3" fillId="0" borderId="0"/>
    <xf numFmtId="0" fontId="18" fillId="0" borderId="0"/>
  </cellStyleXfs>
  <cellXfs count="2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6" fillId="0" borderId="0" xfId="0" applyFont="1"/>
    <xf numFmtId="0" fontId="5" fillId="0" borderId="0" xfId="0" applyFont="1"/>
    <xf numFmtId="0" fontId="8" fillId="0" borderId="0" xfId="0" applyFont="1"/>
    <xf numFmtId="165" fontId="6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5" fontId="16" fillId="6" borderId="1" xfId="0" applyNumberFormat="1" applyFont="1" applyFill="1" applyBorder="1" applyAlignment="1">
      <alignment horizontal="center" vertical="center"/>
    </xf>
    <xf numFmtId="164" fontId="18" fillId="0" borderId="1" xfId="1" applyNumberFormat="1" applyFont="1" applyFill="1" applyBorder="1" applyAlignment="1">
      <alignment horizontal="right" vertical="center"/>
    </xf>
    <xf numFmtId="3" fontId="15" fillId="0" borderId="1" xfId="0" applyNumberFormat="1" applyFont="1" applyBorder="1" applyAlignment="1">
      <alignment vertical="center"/>
    </xf>
    <xf numFmtId="167" fontId="19" fillId="0" borderId="17" xfId="0" applyNumberFormat="1" applyFont="1" applyBorder="1" applyAlignment="1">
      <alignment horizontal="center" vertical="center" wrapText="1"/>
    </xf>
    <xf numFmtId="14" fontId="14" fillId="0" borderId="20" xfId="0" quotePrefix="1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7" fontId="19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11" fillId="0" borderId="0" xfId="0" quotePrefix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8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4" fillId="5" borderId="0" xfId="0" applyFont="1" applyFill="1" applyAlignment="1">
      <alignment vertical="center"/>
    </xf>
    <xf numFmtId="166" fontId="14" fillId="0" borderId="16" xfId="0" applyNumberFormat="1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left" vertical="center"/>
    </xf>
    <xf numFmtId="20" fontId="14" fillId="4" borderId="16" xfId="0" applyNumberFormat="1" applyFont="1" applyFill="1" applyBorder="1" applyAlignment="1">
      <alignment horizontal="center" vertical="center"/>
    </xf>
    <xf numFmtId="167" fontId="17" fillId="4" borderId="17" xfId="0" applyNumberFormat="1" applyFont="1" applyFill="1" applyBorder="1" applyAlignment="1">
      <alignment horizontal="center" vertical="center" wrapText="1"/>
    </xf>
    <xf numFmtId="166" fontId="14" fillId="4" borderId="16" xfId="0" applyNumberFormat="1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vertical="center"/>
    </xf>
    <xf numFmtId="20" fontId="14" fillId="4" borderId="18" xfId="0" applyNumberFormat="1" applyFont="1" applyFill="1" applyBorder="1" applyAlignment="1">
      <alignment horizontal="center" vertical="center"/>
    </xf>
    <xf numFmtId="167" fontId="17" fillId="4" borderId="18" xfId="0" applyNumberFormat="1" applyFont="1" applyFill="1" applyBorder="1" applyAlignment="1">
      <alignment horizontal="center" vertical="center" wrapText="1"/>
    </xf>
    <xf numFmtId="20" fontId="14" fillId="4" borderId="17" xfId="0" applyNumberFormat="1" applyFont="1" applyFill="1" applyBorder="1" applyAlignment="1">
      <alignment horizontal="center" vertical="center"/>
    </xf>
    <xf numFmtId="20" fontId="14" fillId="0" borderId="17" xfId="0" applyNumberFormat="1" applyFont="1" applyBorder="1" applyAlignment="1">
      <alignment horizontal="center" vertical="center"/>
    </xf>
    <xf numFmtId="166" fontId="14" fillId="0" borderId="16" xfId="0" applyNumberFormat="1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20" fontId="14" fillId="0" borderId="1" xfId="0" applyNumberFormat="1" applyFont="1" applyBorder="1" applyAlignment="1">
      <alignment horizontal="center" vertical="center"/>
    </xf>
    <xf numFmtId="167" fontId="13" fillId="0" borderId="19" xfId="0" applyNumberFormat="1" applyFont="1" applyBorder="1" applyAlignment="1">
      <alignment vertical="center"/>
    </xf>
    <xf numFmtId="20" fontId="13" fillId="0" borderId="17" xfId="0" applyNumberFormat="1" applyFont="1" applyBorder="1" applyAlignment="1">
      <alignment horizontal="center" vertical="center"/>
    </xf>
    <xf numFmtId="167" fontId="17" fillId="0" borderId="17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vertical="center"/>
    </xf>
    <xf numFmtId="0" fontId="13" fillId="7" borderId="0" xfId="0" applyFont="1" applyFill="1" applyAlignment="1">
      <alignment vertical="center"/>
    </xf>
    <xf numFmtId="0" fontId="20" fillId="7" borderId="0" xfId="0" applyFont="1" applyFill="1" applyAlignment="1">
      <alignment vertical="center"/>
    </xf>
    <xf numFmtId="3" fontId="20" fillId="7" borderId="0" xfId="0" applyNumberFormat="1" applyFont="1" applyFill="1" applyAlignment="1">
      <alignment vertical="center"/>
    </xf>
    <xf numFmtId="0" fontId="21" fillId="7" borderId="0" xfId="0" applyFont="1" applyFill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2" fillId="8" borderId="0" xfId="0" applyFont="1" applyFill="1" applyAlignment="1">
      <alignment vertical="center"/>
    </xf>
    <xf numFmtId="168" fontId="15" fillId="0" borderId="1" xfId="0" applyNumberFormat="1" applyFont="1" applyBorder="1" applyAlignment="1">
      <alignment vertical="center"/>
    </xf>
    <xf numFmtId="168" fontId="20" fillId="0" borderId="1" xfId="0" applyNumberFormat="1" applyFont="1" applyBorder="1" applyAlignment="1">
      <alignment vertical="center"/>
    </xf>
    <xf numFmtId="168" fontId="22" fillId="8" borderId="0" xfId="0" applyNumberFormat="1" applyFont="1" applyFill="1" applyAlignment="1">
      <alignment vertical="center"/>
    </xf>
    <xf numFmtId="0" fontId="13" fillId="0" borderId="1" xfId="0" applyFont="1" applyBorder="1" applyAlignment="1">
      <alignment vertical="center"/>
    </xf>
    <xf numFmtId="165" fontId="2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165" fontId="6" fillId="0" borderId="0" xfId="0" applyNumberFormat="1" applyFont="1"/>
    <xf numFmtId="0" fontId="23" fillId="0" borderId="0" xfId="0" applyFont="1"/>
    <xf numFmtId="41" fontId="0" fillId="0" borderId="0" xfId="2" applyFont="1"/>
    <xf numFmtId="165" fontId="6" fillId="0" borderId="1" xfId="0" quotePrefix="1" applyNumberFormat="1" applyFont="1" applyBorder="1" applyAlignment="1">
      <alignment horizontal="right"/>
    </xf>
    <xf numFmtId="41" fontId="8" fillId="0" borderId="0" xfId="2" applyFont="1"/>
    <xf numFmtId="165" fontId="5" fillId="0" borderId="0" xfId="0" applyNumberFormat="1" applyFont="1"/>
    <xf numFmtId="0" fontId="25" fillId="0" borderId="0" xfId="0" applyFont="1"/>
    <xf numFmtId="165" fontId="0" fillId="0" borderId="0" xfId="0" applyNumberFormat="1"/>
    <xf numFmtId="168" fontId="6" fillId="0" borderId="1" xfId="0" applyNumberFormat="1" applyFont="1" applyBorder="1"/>
    <xf numFmtId="168" fontId="6" fillId="0" borderId="1" xfId="0" applyNumberFormat="1" applyFont="1" applyBorder="1" applyAlignment="1">
      <alignment vertical="center"/>
    </xf>
    <xf numFmtId="168" fontId="9" fillId="3" borderId="1" xfId="0" applyNumberFormat="1" applyFont="1" applyFill="1" applyBorder="1"/>
    <xf numFmtId="0" fontId="9" fillId="0" borderId="0" xfId="0" applyFont="1"/>
    <xf numFmtId="0" fontId="26" fillId="0" borderId="0" xfId="0" applyFont="1"/>
    <xf numFmtId="3" fontId="9" fillId="0" borderId="0" xfId="0" applyNumberFormat="1" applyFont="1" applyAlignment="1">
      <alignment horizontal="right" vertical="center"/>
    </xf>
    <xf numFmtId="165" fontId="9" fillId="0" borderId="0" xfId="0" applyNumberFormat="1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quotePrefix="1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7" borderId="0" xfId="0" applyFont="1" applyFill="1" applyAlignment="1">
      <alignment vertical="center"/>
    </xf>
    <xf numFmtId="0" fontId="6" fillId="7" borderId="0" xfId="0" applyFont="1" applyFill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1" xfId="0" quotePrefix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8" fontId="6" fillId="0" borderId="1" xfId="0" applyNumberFormat="1" applyFont="1" applyBorder="1" applyAlignment="1">
      <alignment horizontal="right" vertical="center"/>
    </xf>
    <xf numFmtId="168" fontId="9" fillId="3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3" fontId="16" fillId="0" borderId="30" xfId="4" applyNumberFormat="1" applyFont="1" applyBorder="1" applyAlignment="1">
      <alignment horizontal="center" vertical="center"/>
    </xf>
    <xf numFmtId="169" fontId="16" fillId="0" borderId="32" xfId="4" applyNumberFormat="1" applyFont="1" applyBorder="1" applyAlignment="1">
      <alignment horizontal="center" vertical="center"/>
    </xf>
    <xf numFmtId="0" fontId="18" fillId="0" borderId="37" xfId="4" applyBorder="1" applyAlignment="1">
      <alignment horizontal="center" vertical="center"/>
    </xf>
    <xf numFmtId="168" fontId="29" fillId="0" borderId="37" xfId="4" applyNumberFormat="1" applyFont="1" applyBorder="1" applyAlignment="1">
      <alignment horizontal="right" vertical="center"/>
    </xf>
    <xf numFmtId="0" fontId="18" fillId="9" borderId="33" xfId="4" applyFill="1" applyBorder="1" applyAlignment="1">
      <alignment horizontal="center" vertical="center"/>
    </xf>
    <xf numFmtId="0" fontId="16" fillId="9" borderId="33" xfId="4" applyFont="1" applyFill="1" applyBorder="1" applyAlignment="1">
      <alignment horizontal="center" vertical="center"/>
    </xf>
    <xf numFmtId="0" fontId="18" fillId="11" borderId="33" xfId="4" applyFill="1" applyBorder="1" applyAlignment="1">
      <alignment horizontal="center" vertical="center"/>
    </xf>
    <xf numFmtId="3" fontId="18" fillId="9" borderId="33" xfId="4" applyNumberFormat="1" applyFill="1" applyBorder="1" applyAlignment="1">
      <alignment horizontal="center" vertical="center"/>
    </xf>
    <xf numFmtId="3" fontId="18" fillId="0" borderId="33" xfId="4" applyNumberFormat="1" applyBorder="1" applyAlignment="1">
      <alignment horizontal="center" vertical="center"/>
    </xf>
    <xf numFmtId="0" fontId="16" fillId="0" borderId="38" xfId="4" applyFont="1" applyBorder="1" applyAlignment="1">
      <alignment horizontal="center" vertical="center"/>
    </xf>
    <xf numFmtId="0" fontId="18" fillId="0" borderId="37" xfId="4" applyBorder="1" applyAlignment="1">
      <alignment vertical="center"/>
    </xf>
    <xf numFmtId="168" fontId="18" fillId="0" borderId="38" xfId="1" applyNumberFormat="1" applyFont="1" applyBorder="1" applyAlignment="1">
      <alignment vertical="center"/>
    </xf>
    <xf numFmtId="168" fontId="18" fillId="10" borderId="38" xfId="1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168" fontId="9" fillId="0" borderId="0" xfId="0" applyNumberFormat="1" applyFont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20" fillId="8" borderId="28" xfId="0" applyFont="1" applyFill="1" applyBorder="1" applyAlignment="1">
      <alignment horizontal="left" vertical="center"/>
    </xf>
    <xf numFmtId="168" fontId="15" fillId="0" borderId="2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center" vertical="center"/>
    </xf>
    <xf numFmtId="168" fontId="15" fillId="0" borderId="4" xfId="0" applyNumberFormat="1" applyFont="1" applyBorder="1" applyAlignment="1">
      <alignment horizontal="center" vertical="center"/>
    </xf>
    <xf numFmtId="168" fontId="20" fillId="0" borderId="2" xfId="0" applyNumberFormat="1" applyFont="1" applyBorder="1" applyAlignment="1">
      <alignment horizontal="center" vertical="center"/>
    </xf>
    <xf numFmtId="168" fontId="20" fillId="0" borderId="3" xfId="0" applyNumberFormat="1" applyFont="1" applyBorder="1" applyAlignment="1">
      <alignment horizontal="center" vertical="center"/>
    </xf>
    <xf numFmtId="168" fontId="20" fillId="0" borderId="4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8" fontId="14" fillId="0" borderId="0" xfId="0" applyNumberFormat="1" applyFont="1" applyAlignment="1">
      <alignment horizontal="right" vertical="center"/>
    </xf>
    <xf numFmtId="168" fontId="14" fillId="0" borderId="1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168" fontId="14" fillId="0" borderId="9" xfId="0" applyNumberFormat="1" applyFont="1" applyBorder="1" applyAlignment="1">
      <alignment horizontal="right" vertical="center"/>
    </xf>
    <xf numFmtId="168" fontId="14" fillId="0" borderId="10" xfId="0" applyNumberFormat="1" applyFont="1" applyBorder="1" applyAlignment="1">
      <alignment horizontal="right" vertical="center"/>
    </xf>
    <xf numFmtId="168" fontId="10" fillId="0" borderId="14" xfId="0" applyNumberFormat="1" applyFont="1" applyBorder="1" applyAlignment="1">
      <alignment horizontal="right" vertical="center"/>
    </xf>
    <xf numFmtId="168" fontId="10" fillId="0" borderId="15" xfId="0" applyNumberFormat="1" applyFont="1" applyBorder="1" applyAlignment="1">
      <alignment horizontal="right" vertical="center"/>
    </xf>
    <xf numFmtId="0" fontId="14" fillId="0" borderId="9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24" fillId="0" borderId="1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/>
    </xf>
    <xf numFmtId="3" fontId="16" fillId="0" borderId="30" xfId="4" applyNumberFormat="1" applyFont="1" applyBorder="1" applyAlignment="1">
      <alignment horizontal="center" vertical="center" wrapText="1"/>
    </xf>
    <xf numFmtId="0" fontId="27" fillId="0" borderId="31" xfId="4" applyFont="1" applyBorder="1" applyAlignment="1">
      <alignment vertical="center"/>
    </xf>
    <xf numFmtId="0" fontId="27" fillId="0" borderId="32" xfId="4" applyFont="1" applyBorder="1" applyAlignment="1">
      <alignment vertical="center"/>
    </xf>
    <xf numFmtId="3" fontId="16" fillId="0" borderId="30" xfId="4" applyNumberFormat="1" applyFont="1" applyBorder="1" applyAlignment="1">
      <alignment horizontal="center" vertical="center"/>
    </xf>
    <xf numFmtId="0" fontId="29" fillId="0" borderId="31" xfId="4" applyFont="1" applyBorder="1" applyAlignment="1">
      <alignment vertical="center"/>
    </xf>
    <xf numFmtId="0" fontId="29" fillId="0" borderId="32" xfId="4" applyFont="1" applyBorder="1" applyAlignment="1">
      <alignment vertical="center"/>
    </xf>
    <xf numFmtId="3" fontId="16" fillId="0" borderId="34" xfId="4" applyNumberFormat="1" applyFont="1" applyBorder="1" applyAlignment="1">
      <alignment horizontal="center" vertical="center"/>
    </xf>
    <xf numFmtId="0" fontId="27" fillId="0" borderId="35" xfId="4" applyFont="1" applyBorder="1" applyAlignment="1">
      <alignment vertical="center"/>
    </xf>
    <xf numFmtId="0" fontId="27" fillId="0" borderId="36" xfId="4" applyFont="1" applyBorder="1" applyAlignment="1">
      <alignment vertical="center"/>
    </xf>
    <xf numFmtId="0" fontId="27" fillId="10" borderId="30" xfId="4" applyFont="1" applyFill="1" applyBorder="1" applyAlignment="1">
      <alignment horizontal="center" vertical="center" wrapText="1"/>
    </xf>
    <xf numFmtId="0" fontId="27" fillId="10" borderId="31" xfId="4" applyFont="1" applyFill="1" applyBorder="1" applyAlignment="1">
      <alignment horizontal="center" vertical="center" wrapText="1"/>
    </xf>
    <xf numFmtId="0" fontId="27" fillId="10" borderId="32" xfId="4" applyFont="1" applyFill="1" applyBorder="1" applyAlignment="1">
      <alignment horizontal="center" vertical="center" wrapText="1"/>
    </xf>
    <xf numFmtId="0" fontId="28" fillId="0" borderId="30" xfId="4" applyFont="1" applyBorder="1" applyAlignment="1">
      <alignment horizontal="center" vertical="center" wrapText="1"/>
    </xf>
    <xf numFmtId="0" fontId="28" fillId="0" borderId="31" xfId="4" applyFont="1" applyBorder="1" applyAlignment="1">
      <alignment horizontal="center" vertical="center" wrapText="1"/>
    </xf>
    <xf numFmtId="0" fontId="28" fillId="0" borderId="32" xfId="4" applyFont="1" applyBorder="1" applyAlignment="1">
      <alignment horizontal="center" vertical="center" wrapText="1"/>
    </xf>
    <xf numFmtId="0" fontId="27" fillId="0" borderId="30" xfId="4" applyFont="1" applyBorder="1" applyAlignment="1">
      <alignment horizontal="center" vertical="center" wrapText="1"/>
    </xf>
    <xf numFmtId="0" fontId="27" fillId="0" borderId="31" xfId="4" applyFont="1" applyBorder="1" applyAlignment="1">
      <alignment horizontal="center" vertical="center" wrapText="1"/>
    </xf>
    <xf numFmtId="0" fontId="27" fillId="0" borderId="32" xfId="4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6" fillId="0" borderId="30" xfId="4" applyFont="1" applyBorder="1" applyAlignment="1">
      <alignment horizontal="center" vertical="center" wrapText="1"/>
    </xf>
    <xf numFmtId="0" fontId="16" fillId="0" borderId="31" xfId="4" applyFont="1" applyBorder="1" applyAlignment="1">
      <alignment horizontal="center" vertical="center" wrapText="1"/>
    </xf>
    <xf numFmtId="0" fontId="16" fillId="0" borderId="32" xfId="4" applyFont="1" applyBorder="1" applyAlignment="1">
      <alignment horizontal="center" vertical="center" wrapText="1"/>
    </xf>
  </cellXfs>
  <cellStyles count="5">
    <cellStyle name="Comma" xfId="1" builtinId="3"/>
    <cellStyle name="Comma [0]" xfId="2" builtinId="6"/>
    <cellStyle name="Normal" xfId="0" builtinId="0"/>
    <cellStyle name="Normal 2" xfId="3" xr:uid="{D31125F8-B23E-41FB-9B14-1BF037C90AD2}"/>
    <cellStyle name="Normal 2 3 3" xfId="4" xr:uid="{9C5F950C-361B-493E-97D9-5D77B47762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0</xdr:col>
      <xdr:colOff>898338</xdr:colOff>
      <xdr:row>4</xdr:row>
      <xdr:rowOff>163022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DA9AE-3162-47C8-A0EF-1368B9AB6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3" t="6729" r="11069" b="5238"/>
        <a:stretch>
          <a:fillRect/>
        </a:stretch>
      </xdr:blipFill>
      <xdr:spPr>
        <a:xfrm>
          <a:off x="95250" y="66675"/>
          <a:ext cx="800100" cy="786765"/>
        </a:xfrm>
        <a:prstGeom prst="flowChartConnector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0</xdr:col>
      <xdr:colOff>971550</xdr:colOff>
      <xdr:row>4</xdr:row>
      <xdr:rowOff>126365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3D94DD-F615-4F3A-9ED9-04C373D3F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3" t="6729" r="11069" b="5238"/>
        <a:stretch>
          <a:fillRect/>
        </a:stretch>
      </xdr:blipFill>
      <xdr:spPr>
        <a:xfrm>
          <a:off x="152400" y="76200"/>
          <a:ext cx="800100" cy="786765"/>
        </a:xfrm>
        <a:prstGeom prst="flowChartConnector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544286</xdr:colOff>
      <xdr:row>0</xdr:row>
      <xdr:rowOff>0</xdr:rowOff>
    </xdr:from>
    <xdr:to>
      <xdr:col>0</xdr:col>
      <xdr:colOff>1428750</xdr:colOff>
      <xdr:row>3</xdr:row>
      <xdr:rowOff>326301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43CDB5-5684-40E4-A3A2-469072E27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3" t="6729" r="11069" b="5238"/>
        <a:stretch>
          <a:fillRect/>
        </a:stretch>
      </xdr:blipFill>
      <xdr:spPr>
        <a:xfrm>
          <a:off x="544286" y="0"/>
          <a:ext cx="884464" cy="878751"/>
        </a:xfrm>
        <a:prstGeom prst="flowChartConnector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0</xdr:col>
      <xdr:colOff>895350</xdr:colOff>
      <xdr:row>4</xdr:row>
      <xdr:rowOff>105294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366C9F-03C0-4D6B-8436-166E34881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3" t="6729" r="11069" b="5238"/>
        <a:stretch>
          <a:fillRect/>
        </a:stretch>
      </xdr:blipFill>
      <xdr:spPr>
        <a:xfrm>
          <a:off x="95250" y="66675"/>
          <a:ext cx="800100" cy="786765"/>
        </a:xfrm>
        <a:prstGeom prst="flowChartConnector">
          <a:avLst/>
        </a:prstGeom>
        <a:ln>
          <a:noFill/>
        </a:ln>
      </xdr:spPr>
    </xdr:pic>
    <xdr:clientData/>
  </xdr:twoCellAnchor>
  <xdr:twoCellAnchor editAs="oneCell">
    <xdr:from>
      <xdr:col>0</xdr:col>
      <xdr:colOff>95250</xdr:colOff>
      <xdr:row>0</xdr:row>
      <xdr:rowOff>66675</xdr:rowOff>
    </xdr:from>
    <xdr:to>
      <xdr:col>0</xdr:col>
      <xdr:colOff>898338</xdr:colOff>
      <xdr:row>4</xdr:row>
      <xdr:rowOff>126076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B97C98-5280-4193-918F-FFB3DE55A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3" t="6729" r="11069" b="5238"/>
        <a:stretch>
          <a:fillRect/>
        </a:stretch>
      </xdr:blipFill>
      <xdr:spPr>
        <a:xfrm>
          <a:off x="95250" y="66675"/>
          <a:ext cx="803088" cy="807547"/>
        </a:xfrm>
        <a:prstGeom prst="flowChartConnector">
          <a:avLst/>
        </a:prstGeom>
        <a:ln>
          <a:noFill/>
        </a:ln>
      </xdr:spPr>
    </xdr:pic>
    <xdr:clientData/>
  </xdr:twoCellAnchor>
  <xdr:twoCellAnchor editAs="oneCell">
    <xdr:from>
      <xdr:col>0</xdr:col>
      <xdr:colOff>95250</xdr:colOff>
      <xdr:row>0</xdr:row>
      <xdr:rowOff>66675</xdr:rowOff>
    </xdr:from>
    <xdr:to>
      <xdr:col>0</xdr:col>
      <xdr:colOff>898338</xdr:colOff>
      <xdr:row>4</xdr:row>
      <xdr:rowOff>131272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2B1D1-D204-428D-B686-160B4C293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3" t="6729" r="11069" b="5238"/>
        <a:stretch>
          <a:fillRect/>
        </a:stretch>
      </xdr:blipFill>
      <xdr:spPr>
        <a:xfrm>
          <a:off x="95250" y="66675"/>
          <a:ext cx="803088" cy="807547"/>
        </a:xfrm>
        <a:prstGeom prst="flowChartConnector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0</xdr:col>
      <xdr:colOff>971550</xdr:colOff>
      <xdr:row>4</xdr:row>
      <xdr:rowOff>114819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58AE5F-34C9-4400-8C23-053870A21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3" t="6729" r="11069" b="5238"/>
        <a:stretch>
          <a:fillRect/>
        </a:stretch>
      </xdr:blipFill>
      <xdr:spPr>
        <a:xfrm>
          <a:off x="152400" y="76200"/>
          <a:ext cx="800100" cy="786765"/>
        </a:xfrm>
        <a:prstGeom prst="flowChartConnector">
          <a:avLst/>
        </a:prstGeom>
        <a:ln>
          <a:noFill/>
        </a:ln>
      </xdr:spPr>
    </xdr:pic>
    <xdr:clientData/>
  </xdr:twoCellAnchor>
  <xdr:twoCellAnchor editAs="oneCell">
    <xdr:from>
      <xdr:col>0</xdr:col>
      <xdr:colOff>152400</xdr:colOff>
      <xdr:row>0</xdr:row>
      <xdr:rowOff>76200</xdr:rowOff>
    </xdr:from>
    <xdr:to>
      <xdr:col>0</xdr:col>
      <xdr:colOff>971550</xdr:colOff>
      <xdr:row>4</xdr:row>
      <xdr:rowOff>114819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010A7E-73BF-4938-8FF9-D198A7BA0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3" t="6729" r="11069" b="5238"/>
        <a:stretch>
          <a:fillRect/>
        </a:stretch>
      </xdr:blipFill>
      <xdr:spPr>
        <a:xfrm>
          <a:off x="152400" y="76200"/>
          <a:ext cx="819150" cy="786765"/>
        </a:xfrm>
        <a:prstGeom prst="flowChartConnector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ACFB-072F-4BA4-8D99-E94162A2FB42}">
  <dimension ref="A1:H64"/>
  <sheetViews>
    <sheetView topLeftCell="A31" zoomScale="55" zoomScaleNormal="55" workbookViewId="0">
      <selection activeCell="H65" sqref="H65"/>
    </sheetView>
  </sheetViews>
  <sheetFormatPr defaultRowHeight="14" x14ac:dyDescent="0.35"/>
  <cols>
    <col min="1" max="1" width="16.7265625" style="17" customWidth="1"/>
    <col min="2" max="2" width="23.26953125" style="17" customWidth="1"/>
    <col min="3" max="3" width="45.81640625" style="17" customWidth="1"/>
    <col min="4" max="5" width="17.6328125" style="17" bestFit="1" customWidth="1"/>
    <col min="6" max="6" width="14.81640625" style="17" bestFit="1" customWidth="1"/>
    <col min="7" max="7" width="11.26953125" style="17" bestFit="1" customWidth="1"/>
    <col min="8" max="8" width="12.453125" style="17" bestFit="1" customWidth="1"/>
    <col min="9" max="16384" width="8.7265625" style="17"/>
  </cols>
  <sheetData>
    <row r="1" spans="1:8" x14ac:dyDescent="0.35">
      <c r="B1" s="18" t="s">
        <v>0</v>
      </c>
      <c r="C1" s="18" t="s">
        <v>1</v>
      </c>
      <c r="H1" s="19"/>
    </row>
    <row r="2" spans="1:8" x14ac:dyDescent="0.35">
      <c r="B2" s="18" t="s">
        <v>2</v>
      </c>
      <c r="C2" s="18" t="s">
        <v>3</v>
      </c>
      <c r="H2" s="19"/>
    </row>
    <row r="3" spans="1:8" x14ac:dyDescent="0.35">
      <c r="B3" s="18"/>
      <c r="C3" s="18" t="s">
        <v>4</v>
      </c>
      <c r="H3" s="19"/>
    </row>
    <row r="4" spans="1:8" x14ac:dyDescent="0.35">
      <c r="B4" s="18" t="s">
        <v>5</v>
      </c>
      <c r="C4" s="20" t="s">
        <v>6</v>
      </c>
      <c r="H4" s="19"/>
    </row>
    <row r="5" spans="1:8" x14ac:dyDescent="0.35">
      <c r="H5" s="19"/>
    </row>
    <row r="6" spans="1:8" ht="25" x14ac:dyDescent="0.35">
      <c r="A6" s="145" t="s">
        <v>70</v>
      </c>
      <c r="B6" s="145"/>
      <c r="C6" s="145"/>
      <c r="D6" s="145"/>
      <c r="E6" s="145"/>
      <c r="F6" s="145"/>
      <c r="G6" s="145"/>
      <c r="H6" s="145"/>
    </row>
    <row r="7" spans="1:8" ht="16.5" x14ac:dyDescent="0.35">
      <c r="A7" s="21" t="s">
        <v>25</v>
      </c>
      <c r="B7" s="144"/>
      <c r="C7" s="144"/>
      <c r="D7" s="22" t="s">
        <v>26</v>
      </c>
      <c r="E7" s="146"/>
      <c r="F7" s="146"/>
      <c r="G7" s="146"/>
      <c r="H7" s="146"/>
    </row>
    <row r="8" spans="1:8" ht="16.5" x14ac:dyDescent="0.35">
      <c r="A8" s="21" t="s">
        <v>27</v>
      </c>
      <c r="B8" s="144"/>
      <c r="C8" s="144"/>
      <c r="D8" s="21" t="s">
        <v>28</v>
      </c>
      <c r="E8" s="144" t="s">
        <v>29</v>
      </c>
      <c r="F8" s="144"/>
      <c r="G8" s="144"/>
      <c r="H8" s="144"/>
    </row>
    <row r="9" spans="1:8" ht="16.5" x14ac:dyDescent="0.35">
      <c r="A9" s="21" t="s">
        <v>30</v>
      </c>
      <c r="B9" s="144" t="s">
        <v>31</v>
      </c>
      <c r="C9" s="144"/>
      <c r="D9" s="21" t="s">
        <v>72</v>
      </c>
      <c r="E9" s="144" t="s">
        <v>8</v>
      </c>
      <c r="F9" s="144"/>
      <c r="G9" s="144"/>
      <c r="H9" s="144"/>
    </row>
    <row r="10" spans="1:8" ht="16.5" x14ac:dyDescent="0.35">
      <c r="A10" s="21" t="s">
        <v>32</v>
      </c>
      <c r="B10" s="144"/>
      <c r="C10" s="144"/>
      <c r="D10" s="21" t="s">
        <v>16</v>
      </c>
      <c r="E10" s="144"/>
      <c r="F10" s="144"/>
      <c r="G10" s="144"/>
      <c r="H10" s="144"/>
    </row>
    <row r="11" spans="1:8" ht="17" thickBot="1" x14ac:dyDescent="0.4">
      <c r="A11" s="22">
        <v>1</v>
      </c>
      <c r="B11" s="147" t="s">
        <v>17</v>
      </c>
      <c r="C11" s="147"/>
      <c r="D11" s="147"/>
      <c r="E11" s="147"/>
      <c r="F11" s="147"/>
      <c r="G11" s="147"/>
      <c r="H11" s="147"/>
    </row>
    <row r="12" spans="1:8" ht="16.5" x14ac:dyDescent="0.35">
      <c r="A12" s="24" t="s">
        <v>33</v>
      </c>
      <c r="B12" s="153" t="s">
        <v>34</v>
      </c>
      <c r="C12" s="153"/>
      <c r="D12" s="149"/>
      <c r="E12" s="149"/>
      <c r="F12" s="149"/>
      <c r="G12" s="149"/>
      <c r="H12" s="150"/>
    </row>
    <row r="13" spans="1:8" ht="16.5" x14ac:dyDescent="0.35">
      <c r="A13" s="25" t="s">
        <v>35</v>
      </c>
      <c r="B13" s="137" t="s">
        <v>36</v>
      </c>
      <c r="C13" s="137"/>
      <c r="D13" s="138"/>
      <c r="E13" s="138"/>
      <c r="F13" s="138"/>
      <c r="G13" s="138"/>
      <c r="H13" s="139"/>
    </row>
    <row r="14" spans="1:8" ht="16.5" x14ac:dyDescent="0.35">
      <c r="A14" s="25" t="s">
        <v>37</v>
      </c>
      <c r="B14" s="137" t="s">
        <v>38</v>
      </c>
      <c r="C14" s="137"/>
      <c r="D14" s="138"/>
      <c r="E14" s="138"/>
      <c r="F14" s="138"/>
      <c r="G14" s="138"/>
      <c r="H14" s="139"/>
    </row>
    <row r="15" spans="1:8" ht="16.5" x14ac:dyDescent="0.35">
      <c r="A15" s="25" t="s">
        <v>39</v>
      </c>
      <c r="B15" s="137" t="s">
        <v>121</v>
      </c>
      <c r="C15" s="137"/>
      <c r="D15" s="138"/>
      <c r="E15" s="138"/>
      <c r="F15" s="138"/>
      <c r="G15" s="138"/>
      <c r="H15" s="139"/>
    </row>
    <row r="16" spans="1:8" ht="16.5" x14ac:dyDescent="0.35">
      <c r="A16" s="25" t="s">
        <v>41</v>
      </c>
      <c r="B16" s="137" t="s">
        <v>123</v>
      </c>
      <c r="C16" s="137"/>
      <c r="D16" s="138">
        <v>20000</v>
      </c>
      <c r="E16" s="138"/>
      <c r="F16" s="138"/>
      <c r="G16" s="138"/>
      <c r="H16" s="139"/>
    </row>
    <row r="17" spans="1:8" ht="16.5" x14ac:dyDescent="0.35">
      <c r="A17" s="25" t="s">
        <v>120</v>
      </c>
      <c r="B17" s="137" t="s">
        <v>40</v>
      </c>
      <c r="C17" s="137"/>
      <c r="D17" s="138"/>
      <c r="E17" s="138"/>
      <c r="F17" s="138"/>
      <c r="G17" s="138"/>
      <c r="H17" s="139"/>
    </row>
    <row r="18" spans="1:8" ht="17" thickBot="1" x14ac:dyDescent="0.4">
      <c r="A18" s="26" t="s">
        <v>122</v>
      </c>
      <c r="B18" s="148" t="s">
        <v>42</v>
      </c>
      <c r="C18" s="148"/>
      <c r="D18" s="151"/>
      <c r="E18" s="151"/>
      <c r="F18" s="151"/>
      <c r="G18" s="151"/>
      <c r="H18" s="152"/>
    </row>
    <row r="19" spans="1:8" ht="16.5" x14ac:dyDescent="0.35">
      <c r="A19" s="23"/>
    </row>
    <row r="20" spans="1:8" ht="16.5" x14ac:dyDescent="0.35">
      <c r="A20" s="22">
        <v>2</v>
      </c>
      <c r="B20" s="21" t="s">
        <v>43</v>
      </c>
      <c r="C20" s="23"/>
      <c r="D20" s="23"/>
      <c r="E20" s="23"/>
      <c r="F20" s="23"/>
      <c r="G20" s="23"/>
      <c r="H20" s="19"/>
    </row>
    <row r="21" spans="1:8" ht="16.5" x14ac:dyDescent="0.35">
      <c r="A21" s="27" t="s">
        <v>44</v>
      </c>
      <c r="B21" s="27" t="s">
        <v>45</v>
      </c>
      <c r="C21" s="28"/>
      <c r="D21" s="23"/>
      <c r="E21" s="23"/>
      <c r="F21" s="23"/>
      <c r="G21" s="23"/>
      <c r="H21" s="19"/>
    </row>
    <row r="22" spans="1:8" ht="16.5" x14ac:dyDescent="0.35">
      <c r="A22" s="8" t="s">
        <v>46</v>
      </c>
      <c r="B22" s="8" t="s">
        <v>47</v>
      </c>
      <c r="C22" s="8" t="s">
        <v>48</v>
      </c>
      <c r="D22" s="8" t="s">
        <v>49</v>
      </c>
      <c r="E22" s="9" t="s">
        <v>50</v>
      </c>
      <c r="F22" s="8" t="s">
        <v>51</v>
      </c>
      <c r="G22" s="8" t="s">
        <v>20</v>
      </c>
      <c r="H22" s="10" t="s">
        <v>52</v>
      </c>
    </row>
    <row r="23" spans="1:8" ht="16.5" x14ac:dyDescent="0.35">
      <c r="A23" s="29"/>
      <c r="B23" s="30"/>
      <c r="C23" s="31"/>
      <c r="D23" s="32"/>
      <c r="E23" s="32"/>
      <c r="F23" s="33"/>
      <c r="G23" s="11"/>
      <c r="H23" s="57">
        <f>G23*F23</f>
        <v>0</v>
      </c>
    </row>
    <row r="24" spans="1:8" ht="16.5" x14ac:dyDescent="0.35">
      <c r="A24" s="34"/>
      <c r="B24" s="30"/>
      <c r="C24" s="35"/>
      <c r="D24" s="36"/>
      <c r="E24" s="36"/>
      <c r="F24" s="37"/>
      <c r="G24" s="11"/>
      <c r="H24" s="57">
        <f t="shared" ref="H24:H32" si="0">G24*F24</f>
        <v>0</v>
      </c>
    </row>
    <row r="25" spans="1:8" ht="16.5" x14ac:dyDescent="0.35">
      <c r="A25" s="29"/>
      <c r="B25" s="30"/>
      <c r="C25" s="35"/>
      <c r="D25" s="38"/>
      <c r="E25" s="39"/>
      <c r="F25" s="33"/>
      <c r="G25" s="11"/>
      <c r="H25" s="57">
        <f t="shared" si="0"/>
        <v>0</v>
      </c>
    </row>
    <row r="26" spans="1:8" ht="16.5" x14ac:dyDescent="0.35">
      <c r="A26" s="29"/>
      <c r="B26" s="30"/>
      <c r="C26" s="35"/>
      <c r="D26" s="38"/>
      <c r="E26" s="39"/>
      <c r="F26" s="33"/>
      <c r="G26" s="11"/>
      <c r="H26" s="57">
        <f t="shared" si="0"/>
        <v>0</v>
      </c>
    </row>
    <row r="27" spans="1:8" ht="16.5" x14ac:dyDescent="0.35">
      <c r="A27" s="34"/>
      <c r="B27" s="30"/>
      <c r="C27" s="35"/>
      <c r="D27" s="36"/>
      <c r="E27" s="36"/>
      <c r="F27" s="37"/>
      <c r="G27" s="11"/>
      <c r="H27" s="57">
        <f>G27*F27</f>
        <v>0</v>
      </c>
    </row>
    <row r="28" spans="1:8" ht="16.5" x14ac:dyDescent="0.35">
      <c r="A28" s="29"/>
      <c r="B28" s="30"/>
      <c r="C28" s="35"/>
      <c r="D28" s="38"/>
      <c r="E28" s="39"/>
      <c r="F28" s="33"/>
      <c r="G28" s="11"/>
      <c r="H28" s="57">
        <f t="shared" si="0"/>
        <v>0</v>
      </c>
    </row>
    <row r="29" spans="1:8" ht="16.5" x14ac:dyDescent="0.35">
      <c r="A29" s="40"/>
      <c r="B29" s="30"/>
      <c r="C29" s="35"/>
      <c r="D29" s="36"/>
      <c r="E29" s="36"/>
      <c r="F29" s="37"/>
      <c r="G29" s="11"/>
      <c r="H29" s="57">
        <f t="shared" si="0"/>
        <v>0</v>
      </c>
    </row>
    <row r="30" spans="1:8" ht="16.5" x14ac:dyDescent="0.35">
      <c r="A30" s="40"/>
      <c r="B30" s="41"/>
      <c r="C30" s="35"/>
      <c r="D30" s="38"/>
      <c r="E30" s="39"/>
      <c r="F30" s="33"/>
      <c r="G30" s="11"/>
      <c r="H30" s="57">
        <f t="shared" si="0"/>
        <v>0</v>
      </c>
    </row>
    <row r="31" spans="1:8" ht="16.5" x14ac:dyDescent="0.35">
      <c r="A31" s="40"/>
      <c r="B31" s="41"/>
      <c r="C31" s="35"/>
      <c r="D31" s="38"/>
      <c r="E31" s="39"/>
      <c r="F31" s="33"/>
      <c r="G31" s="11"/>
      <c r="H31" s="57">
        <f t="shared" si="0"/>
        <v>0</v>
      </c>
    </row>
    <row r="32" spans="1:8" ht="16.5" x14ac:dyDescent="0.35">
      <c r="A32" s="40"/>
      <c r="B32" s="41"/>
      <c r="C32" s="35"/>
      <c r="D32" s="36"/>
      <c r="E32" s="36"/>
      <c r="F32" s="37"/>
      <c r="G32" s="11"/>
      <c r="H32" s="57">
        <f t="shared" si="0"/>
        <v>0</v>
      </c>
    </row>
    <row r="33" spans="1:8" ht="16.5" x14ac:dyDescent="0.35">
      <c r="A33" s="42"/>
      <c r="B33" s="133" t="s">
        <v>21</v>
      </c>
      <c r="C33" s="133"/>
      <c r="D33" s="133"/>
      <c r="E33" s="133"/>
      <c r="F33" s="13">
        <f>SUM(F23:F32)</f>
        <v>0</v>
      </c>
      <c r="G33" s="43"/>
      <c r="H33" s="58">
        <f>SUM(H23:H32)</f>
        <v>0</v>
      </c>
    </row>
    <row r="34" spans="1:8" ht="16.5" x14ac:dyDescent="0.35">
      <c r="A34" s="27" t="s">
        <v>53</v>
      </c>
      <c r="B34" s="27" t="s">
        <v>54</v>
      </c>
      <c r="C34" s="28"/>
      <c r="D34" s="23"/>
      <c r="E34" s="23"/>
      <c r="F34" s="23"/>
      <c r="G34" s="23"/>
      <c r="H34" s="19"/>
    </row>
    <row r="35" spans="1:8" ht="16.5" x14ac:dyDescent="0.35">
      <c r="A35" s="8" t="s">
        <v>46</v>
      </c>
      <c r="B35" s="8" t="s">
        <v>47</v>
      </c>
      <c r="C35" s="8" t="s">
        <v>48</v>
      </c>
      <c r="D35" s="8" t="s">
        <v>49</v>
      </c>
      <c r="E35" s="9" t="s">
        <v>50</v>
      </c>
      <c r="F35" s="8" t="s">
        <v>51</v>
      </c>
      <c r="G35" s="8" t="s">
        <v>20</v>
      </c>
      <c r="H35" s="10" t="s">
        <v>52</v>
      </c>
    </row>
    <row r="36" spans="1:8" ht="16.5" hidden="1" x14ac:dyDescent="0.35">
      <c r="A36" s="34"/>
      <c r="B36" s="30"/>
      <c r="C36" s="44"/>
      <c r="D36" s="38"/>
      <c r="E36" s="39"/>
      <c r="F36" s="33"/>
      <c r="G36" s="11"/>
      <c r="H36" s="12"/>
    </row>
    <row r="37" spans="1:8" ht="16.5" hidden="1" x14ac:dyDescent="0.35">
      <c r="A37" s="34"/>
      <c r="B37" s="30"/>
      <c r="C37" s="44"/>
      <c r="D37" s="38"/>
      <c r="E37" s="39"/>
      <c r="F37" s="33"/>
      <c r="G37" s="11"/>
      <c r="H37" s="12"/>
    </row>
    <row r="38" spans="1:8" ht="16.5" hidden="1" x14ac:dyDescent="0.35">
      <c r="A38" s="14"/>
      <c r="B38" s="15"/>
      <c r="C38" s="42"/>
      <c r="D38" s="45"/>
      <c r="E38" s="45"/>
      <c r="F38" s="16"/>
      <c r="G38" s="11"/>
      <c r="H38" s="12"/>
    </row>
    <row r="39" spans="1:8" ht="16.5" x14ac:dyDescent="0.35">
      <c r="A39" s="29"/>
      <c r="B39" s="30"/>
      <c r="C39" s="46"/>
      <c r="D39" s="47"/>
      <c r="E39" s="47"/>
      <c r="F39" s="48"/>
      <c r="G39" s="11"/>
      <c r="H39" s="57">
        <f t="shared" ref="H39" si="1">G39*F39</f>
        <v>0</v>
      </c>
    </row>
    <row r="40" spans="1:8" ht="16.5" x14ac:dyDescent="0.35">
      <c r="A40" s="29"/>
      <c r="B40" s="30"/>
      <c r="C40" s="46"/>
      <c r="D40" s="47"/>
      <c r="E40" s="47"/>
      <c r="F40" s="48"/>
      <c r="G40" s="11"/>
      <c r="H40" s="57">
        <f t="shared" ref="H40" si="2">G40*F40</f>
        <v>0</v>
      </c>
    </row>
    <row r="41" spans="1:8" ht="16.5" x14ac:dyDescent="0.35">
      <c r="A41" s="42"/>
      <c r="B41" s="134" t="s">
        <v>55</v>
      </c>
      <c r="C41" s="135"/>
      <c r="D41" s="135"/>
      <c r="E41" s="135"/>
      <c r="F41" s="16">
        <f>SUM(F39:F40)</f>
        <v>0</v>
      </c>
      <c r="G41" s="11"/>
      <c r="H41" s="58">
        <f>SUM(H39:H40)</f>
        <v>0</v>
      </c>
    </row>
    <row r="42" spans="1:8" ht="16.5" x14ac:dyDescent="0.35">
      <c r="A42" s="27" t="s">
        <v>56</v>
      </c>
      <c r="B42" s="27" t="s">
        <v>57</v>
      </c>
      <c r="C42" s="28"/>
      <c r="D42" s="23"/>
      <c r="E42" s="23"/>
      <c r="F42" s="23"/>
      <c r="G42" s="23"/>
      <c r="H42" s="19"/>
    </row>
    <row r="43" spans="1:8" ht="16.5" x14ac:dyDescent="0.35">
      <c r="A43" s="8" t="s">
        <v>46</v>
      </c>
      <c r="B43" s="8" t="s">
        <v>47</v>
      </c>
      <c r="C43" s="8" t="s">
        <v>48</v>
      </c>
      <c r="D43" s="8" t="s">
        <v>49</v>
      </c>
      <c r="E43" s="9" t="s">
        <v>50</v>
      </c>
      <c r="F43" s="8" t="s">
        <v>51</v>
      </c>
      <c r="G43" s="8" t="s">
        <v>20</v>
      </c>
      <c r="H43" s="10" t="s">
        <v>52</v>
      </c>
    </row>
    <row r="44" spans="1:8" ht="16.5" x14ac:dyDescent="0.35">
      <c r="A44" s="29"/>
      <c r="B44" s="30"/>
      <c r="C44" s="46"/>
      <c r="D44" s="47"/>
      <c r="E44" s="47"/>
      <c r="F44" s="48"/>
      <c r="G44" s="11"/>
      <c r="H44" s="57">
        <f>G44*F44</f>
        <v>0</v>
      </c>
    </row>
    <row r="45" spans="1:8" ht="16.5" x14ac:dyDescent="0.35">
      <c r="A45" s="29"/>
      <c r="B45" s="30"/>
      <c r="C45" s="46"/>
      <c r="D45" s="47"/>
      <c r="E45" s="47"/>
      <c r="F45" s="48"/>
      <c r="G45" s="11"/>
      <c r="H45" s="57">
        <f t="shared" ref="H45" si="3">G45*F45</f>
        <v>0</v>
      </c>
    </row>
    <row r="46" spans="1:8" ht="16.5" x14ac:dyDescent="0.35">
      <c r="A46" s="134" t="s">
        <v>58</v>
      </c>
      <c r="B46" s="135"/>
      <c r="C46" s="135"/>
      <c r="D46" s="135"/>
      <c r="E46" s="136"/>
      <c r="F46" s="16">
        <f>SUM(F44:F45)</f>
        <v>0</v>
      </c>
      <c r="G46" s="60"/>
      <c r="H46" s="58">
        <f>SUM(H44:H45)</f>
        <v>0</v>
      </c>
    </row>
    <row r="47" spans="1:8" ht="16.5" x14ac:dyDescent="0.35">
      <c r="A47" s="27" t="s">
        <v>59</v>
      </c>
      <c r="B47" s="27" t="s">
        <v>60</v>
      </c>
      <c r="C47" s="28"/>
      <c r="D47" s="23"/>
      <c r="E47" s="23"/>
      <c r="F47" s="23"/>
      <c r="G47" s="23"/>
      <c r="H47" s="19"/>
    </row>
    <row r="48" spans="1:8" ht="16.5" x14ac:dyDescent="0.35">
      <c r="A48" s="8" t="s">
        <v>46</v>
      </c>
      <c r="B48" s="8" t="s">
        <v>47</v>
      </c>
      <c r="C48" s="8" t="s">
        <v>48</v>
      </c>
      <c r="D48" s="8" t="s">
        <v>49</v>
      </c>
      <c r="E48" s="9" t="s">
        <v>50</v>
      </c>
      <c r="F48" s="8" t="s">
        <v>51</v>
      </c>
      <c r="G48" s="8" t="s">
        <v>20</v>
      </c>
      <c r="H48" s="10" t="s">
        <v>52</v>
      </c>
    </row>
    <row r="49" spans="1:8" ht="16.5" x14ac:dyDescent="0.35">
      <c r="A49" s="29"/>
      <c r="B49" s="30"/>
      <c r="C49" s="46"/>
      <c r="D49" s="47"/>
      <c r="E49" s="47"/>
      <c r="F49" s="48"/>
      <c r="G49" s="11"/>
      <c r="H49" s="57">
        <f>G49*F49</f>
        <v>0</v>
      </c>
    </row>
    <row r="50" spans="1:8" ht="16.5" x14ac:dyDescent="0.35">
      <c r="A50" s="29"/>
      <c r="B50" s="30"/>
      <c r="C50" s="46"/>
      <c r="D50" s="47"/>
      <c r="E50" s="47"/>
      <c r="F50" s="48"/>
      <c r="G50" s="11"/>
      <c r="H50" s="57">
        <f t="shared" ref="H50" si="4">G50*F50</f>
        <v>0</v>
      </c>
    </row>
    <row r="51" spans="1:8" ht="16.5" x14ac:dyDescent="0.35">
      <c r="A51" s="134" t="s">
        <v>58</v>
      </c>
      <c r="B51" s="135"/>
      <c r="C51" s="135"/>
      <c r="D51" s="135"/>
      <c r="E51" s="136"/>
      <c r="F51" s="16">
        <f>SUM(F49:F50)</f>
        <v>0</v>
      </c>
      <c r="G51" s="60"/>
      <c r="H51" s="58">
        <f>SUM(H49:H50)</f>
        <v>0</v>
      </c>
    </row>
    <row r="52" spans="1:8" ht="16.5" x14ac:dyDescent="0.35">
      <c r="A52" s="27" t="s">
        <v>59</v>
      </c>
      <c r="B52" s="27" t="s">
        <v>61</v>
      </c>
      <c r="C52" s="28"/>
      <c r="D52" s="23"/>
      <c r="E52" s="23"/>
      <c r="F52" s="23"/>
      <c r="G52" s="23"/>
      <c r="H52" s="19"/>
    </row>
    <row r="53" spans="1:8" ht="16.5" x14ac:dyDescent="0.35">
      <c r="A53" s="8" t="s">
        <v>46</v>
      </c>
      <c r="B53" s="8" t="s">
        <v>47</v>
      </c>
      <c r="C53" s="8" t="s">
        <v>62</v>
      </c>
      <c r="D53" s="133" t="s">
        <v>63</v>
      </c>
      <c r="E53" s="133"/>
      <c r="F53" s="133"/>
      <c r="G53" s="133"/>
      <c r="H53" s="114" t="s">
        <v>20</v>
      </c>
    </row>
    <row r="54" spans="1:8" ht="16.5" x14ac:dyDescent="0.35">
      <c r="A54" s="8"/>
      <c r="B54" s="8"/>
      <c r="C54" s="8"/>
      <c r="D54" s="140"/>
      <c r="E54" s="141"/>
      <c r="F54" s="141"/>
      <c r="G54" s="142"/>
      <c r="H54" s="49"/>
    </row>
    <row r="55" spans="1:8" ht="16.5" x14ac:dyDescent="0.35">
      <c r="A55" s="140" t="s">
        <v>64</v>
      </c>
      <c r="B55" s="141"/>
      <c r="C55" s="141"/>
      <c r="D55" s="141"/>
      <c r="E55" s="141"/>
      <c r="F55" s="141"/>
      <c r="G55" s="142"/>
      <c r="H55" s="58">
        <f>SUM(H54)</f>
        <v>0</v>
      </c>
    </row>
    <row r="56" spans="1:8" ht="16.5" x14ac:dyDescent="0.35">
      <c r="A56" s="27" t="s">
        <v>65</v>
      </c>
      <c r="B56" s="143" t="s">
        <v>66</v>
      </c>
      <c r="C56" s="143"/>
      <c r="D56" s="50"/>
      <c r="E56" s="51"/>
      <c r="F56" s="51"/>
      <c r="G56" s="51"/>
      <c r="H56" s="52"/>
    </row>
    <row r="57" spans="1:8" ht="16.5" x14ac:dyDescent="0.35">
      <c r="A57" s="122" t="s">
        <v>19</v>
      </c>
      <c r="B57" s="123"/>
      <c r="C57" s="123"/>
      <c r="D57" s="123"/>
      <c r="E57" s="124"/>
      <c r="F57" s="116">
        <v>0</v>
      </c>
      <c r="G57" s="117"/>
      <c r="H57" s="118"/>
    </row>
    <row r="58" spans="1:8" ht="16.5" x14ac:dyDescent="0.35">
      <c r="A58" s="122" t="s">
        <v>71</v>
      </c>
      <c r="B58" s="123"/>
      <c r="C58" s="123"/>
      <c r="D58" s="123"/>
      <c r="E58" s="124"/>
      <c r="F58" s="116">
        <v>0</v>
      </c>
      <c r="G58" s="117"/>
      <c r="H58" s="118"/>
    </row>
    <row r="59" spans="1:8" ht="16.5" x14ac:dyDescent="0.35">
      <c r="A59" s="122" t="s">
        <v>51</v>
      </c>
      <c r="B59" s="123"/>
      <c r="C59" s="123"/>
      <c r="D59" s="123"/>
      <c r="E59" s="124"/>
      <c r="F59" s="116">
        <v>0</v>
      </c>
      <c r="G59" s="117"/>
      <c r="H59" s="118"/>
    </row>
    <row r="60" spans="1:8" ht="16.5" x14ac:dyDescent="0.35">
      <c r="A60" s="133" t="s">
        <v>67</v>
      </c>
      <c r="B60" s="133"/>
      <c r="C60" s="133"/>
      <c r="D60" s="133"/>
      <c r="E60" s="133"/>
      <c r="F60" s="119">
        <f>F57+F58*F59</f>
        <v>0</v>
      </c>
      <c r="G60" s="120"/>
      <c r="H60" s="121"/>
    </row>
    <row r="61" spans="1:8" ht="16.5" x14ac:dyDescent="0.35">
      <c r="A61" s="53"/>
      <c r="B61" s="50"/>
      <c r="C61" s="50"/>
      <c r="D61" s="50"/>
      <c r="E61" s="50"/>
      <c r="F61" s="51"/>
      <c r="G61" s="51"/>
      <c r="H61" s="19"/>
    </row>
    <row r="62" spans="1:8" ht="16.5" x14ac:dyDescent="0.35">
      <c r="A62" s="54">
        <v>3</v>
      </c>
      <c r="B62" s="131" t="s">
        <v>68</v>
      </c>
      <c r="C62" s="132"/>
      <c r="D62" s="125"/>
      <c r="E62" s="126"/>
      <c r="F62" s="126"/>
      <c r="G62" s="126"/>
      <c r="H62" s="127"/>
    </row>
    <row r="63" spans="1:8" ht="16.5" x14ac:dyDescent="0.35">
      <c r="A63" s="125" t="s">
        <v>23</v>
      </c>
      <c r="B63" s="126"/>
      <c r="C63" s="127"/>
      <c r="D63" s="128"/>
      <c r="E63" s="129"/>
      <c r="F63" s="129"/>
      <c r="G63" s="129"/>
      <c r="H63" s="130"/>
    </row>
    <row r="64" spans="1:8" ht="16.5" x14ac:dyDescent="0.35">
      <c r="A64" s="55">
        <v>4</v>
      </c>
      <c r="B64" s="115" t="s">
        <v>69</v>
      </c>
      <c r="C64" s="115"/>
      <c r="D64" s="56"/>
      <c r="E64" s="56"/>
      <c r="F64" s="56"/>
      <c r="G64" s="56"/>
      <c r="H64" s="59">
        <f>F60+H55+H51+H33+H41-D63+H46</f>
        <v>0</v>
      </c>
    </row>
  </sheetData>
  <mergeCells count="45">
    <mergeCell ref="D14:H14"/>
    <mergeCell ref="D17:H17"/>
    <mergeCell ref="B12:C12"/>
    <mergeCell ref="B13:C13"/>
    <mergeCell ref="B14:C14"/>
    <mergeCell ref="A6:H6"/>
    <mergeCell ref="E7:H7"/>
    <mergeCell ref="E8:H8"/>
    <mergeCell ref="E9:H9"/>
    <mergeCell ref="B8:C8"/>
    <mergeCell ref="B9:C9"/>
    <mergeCell ref="B15:C15"/>
    <mergeCell ref="D15:H15"/>
    <mergeCell ref="A55:G55"/>
    <mergeCell ref="B56:C56"/>
    <mergeCell ref="B7:C7"/>
    <mergeCell ref="D53:G53"/>
    <mergeCell ref="D54:G54"/>
    <mergeCell ref="B16:C16"/>
    <mergeCell ref="D16:H16"/>
    <mergeCell ref="E10:H10"/>
    <mergeCell ref="B11:H11"/>
    <mergeCell ref="B10:C10"/>
    <mergeCell ref="B18:C18"/>
    <mergeCell ref="D12:H12"/>
    <mergeCell ref="D13:H13"/>
    <mergeCell ref="D18:H18"/>
    <mergeCell ref="B33:E33"/>
    <mergeCell ref="B41:E41"/>
    <mergeCell ref="A46:E46"/>
    <mergeCell ref="A51:E51"/>
    <mergeCell ref="B17:C17"/>
    <mergeCell ref="B64:C64"/>
    <mergeCell ref="F57:H57"/>
    <mergeCell ref="F59:H59"/>
    <mergeCell ref="F60:H60"/>
    <mergeCell ref="A58:E58"/>
    <mergeCell ref="F58:H58"/>
    <mergeCell ref="D62:H62"/>
    <mergeCell ref="D63:H63"/>
    <mergeCell ref="A63:C63"/>
    <mergeCell ref="B62:C62"/>
    <mergeCell ref="A57:E57"/>
    <mergeCell ref="A59:E59"/>
    <mergeCell ref="A60:E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2DDF-BCB9-4BCB-9AD4-4C1222C95995}">
  <dimension ref="A1:H26"/>
  <sheetViews>
    <sheetView zoomScale="70" zoomScaleNormal="70" workbookViewId="0">
      <selection activeCell="G16" sqref="G16"/>
    </sheetView>
  </sheetViews>
  <sheetFormatPr defaultColWidth="9" defaultRowHeight="14.5" x14ac:dyDescent="0.35"/>
  <cols>
    <col min="1" max="1" width="22.36328125" style="82" bestFit="1" customWidth="1"/>
    <col min="2" max="3" width="9" style="82"/>
    <col min="4" max="4" width="6.7265625" style="82" bestFit="1" customWidth="1"/>
    <col min="5" max="5" width="52.54296875" style="98" customWidth="1"/>
    <col min="6" max="16384" width="9" style="82"/>
  </cols>
  <sheetData>
    <row r="1" spans="1:8" x14ac:dyDescent="0.35">
      <c r="A1" s="79"/>
      <c r="B1" s="80" t="s">
        <v>0</v>
      </c>
      <c r="C1" s="80" t="s">
        <v>1</v>
      </c>
      <c r="D1" s="79"/>
      <c r="E1" s="81"/>
    </row>
    <row r="2" spans="1:8" x14ac:dyDescent="0.35">
      <c r="A2" s="79"/>
      <c r="B2" s="80" t="s">
        <v>2</v>
      </c>
      <c r="C2" s="80" t="s">
        <v>3</v>
      </c>
      <c r="D2" s="79"/>
      <c r="E2" s="81"/>
    </row>
    <row r="3" spans="1:8" x14ac:dyDescent="0.35">
      <c r="A3" s="79"/>
      <c r="B3" s="80"/>
      <c r="C3" s="80" t="s">
        <v>4</v>
      </c>
      <c r="D3" s="79"/>
      <c r="E3" s="81"/>
    </row>
    <row r="4" spans="1:8" x14ac:dyDescent="0.35">
      <c r="A4" s="79"/>
      <c r="B4" s="80" t="s">
        <v>5</v>
      </c>
      <c r="C4" s="83" t="s">
        <v>6</v>
      </c>
      <c r="D4" s="79"/>
      <c r="E4" s="81"/>
    </row>
    <row r="5" spans="1:8" x14ac:dyDescent="0.35">
      <c r="A5" s="79"/>
      <c r="B5" s="79"/>
      <c r="C5" s="79"/>
      <c r="D5" s="79"/>
      <c r="E5" s="81"/>
    </row>
    <row r="6" spans="1:8" ht="25" x14ac:dyDescent="0.35">
      <c r="A6" s="154" t="s">
        <v>7</v>
      </c>
      <c r="B6" s="154"/>
      <c r="C6" s="154"/>
      <c r="D6" s="154"/>
      <c r="E6" s="154"/>
    </row>
    <row r="7" spans="1:8" ht="16.5" x14ac:dyDescent="0.35">
      <c r="A7" s="84" t="s">
        <v>74</v>
      </c>
      <c r="B7" s="167"/>
      <c r="C7" s="168"/>
      <c r="D7" s="85" t="s">
        <v>73</v>
      </c>
      <c r="E7" s="86"/>
      <c r="F7" s="87"/>
      <c r="G7" s="87"/>
      <c r="H7" s="87"/>
    </row>
    <row r="8" spans="1:8" ht="16.5" x14ac:dyDescent="0.35">
      <c r="A8" s="84" t="s">
        <v>75</v>
      </c>
      <c r="B8" s="169" t="s">
        <v>8</v>
      </c>
      <c r="C8" s="170"/>
      <c r="D8" s="170"/>
      <c r="E8" s="171"/>
      <c r="F8" s="87"/>
      <c r="G8" s="87"/>
      <c r="H8" s="87"/>
    </row>
    <row r="9" spans="1:8" ht="16.5" x14ac:dyDescent="0.35">
      <c r="A9" s="88"/>
      <c r="B9" s="88"/>
      <c r="C9" s="88"/>
      <c r="D9" s="88"/>
      <c r="E9" s="89"/>
      <c r="F9" s="87"/>
      <c r="G9" s="87"/>
      <c r="H9" s="87"/>
    </row>
    <row r="10" spans="1:8" ht="16.5" x14ac:dyDescent="0.35">
      <c r="A10" s="155" t="s">
        <v>9</v>
      </c>
      <c r="B10" s="156"/>
      <c r="C10" s="156"/>
      <c r="D10" s="157"/>
      <c r="E10" s="90"/>
      <c r="F10" s="87"/>
      <c r="G10" s="87"/>
      <c r="H10" s="87"/>
    </row>
    <row r="11" spans="1:8" ht="16.5" x14ac:dyDescent="0.35">
      <c r="A11" s="155" t="s">
        <v>10</v>
      </c>
      <c r="B11" s="156"/>
      <c r="C11" s="156"/>
      <c r="D11" s="157"/>
      <c r="E11" s="90"/>
      <c r="F11" s="87"/>
      <c r="G11" s="87"/>
      <c r="H11" s="87"/>
    </row>
    <row r="12" spans="1:8" ht="16.5" x14ac:dyDescent="0.35">
      <c r="A12" s="155" t="s">
        <v>11</v>
      </c>
      <c r="B12" s="156"/>
      <c r="C12" s="156"/>
      <c r="D12" s="157"/>
      <c r="E12" s="91" t="e">
        <f>DAY(EOMONTH(DATE(E7,B7,1),0))</f>
        <v>#NUM!</v>
      </c>
      <c r="F12" s="87"/>
      <c r="G12" s="87"/>
      <c r="H12" s="87"/>
    </row>
    <row r="13" spans="1:8" ht="16.5" x14ac:dyDescent="0.35">
      <c r="A13" s="155" t="s">
        <v>88</v>
      </c>
      <c r="B13" s="156"/>
      <c r="C13" s="156"/>
      <c r="D13" s="157"/>
      <c r="E13" s="90"/>
      <c r="F13" s="87"/>
      <c r="G13" s="87"/>
      <c r="H13" s="87"/>
    </row>
    <row r="14" spans="1:8" ht="16.5" x14ac:dyDescent="0.35">
      <c r="A14" s="155" t="s">
        <v>12</v>
      </c>
      <c r="B14" s="156"/>
      <c r="C14" s="156"/>
      <c r="D14" s="157"/>
      <c r="E14" s="90"/>
      <c r="F14" s="87"/>
      <c r="G14" s="87"/>
      <c r="H14" s="87"/>
    </row>
    <row r="15" spans="1:8" ht="16.5" x14ac:dyDescent="0.35">
      <c r="A15" s="155" t="s">
        <v>13</v>
      </c>
      <c r="B15" s="156"/>
      <c r="C15" s="156"/>
      <c r="D15" s="157"/>
      <c r="E15" s="90"/>
      <c r="F15" s="87"/>
      <c r="G15" s="87"/>
      <c r="H15" s="87"/>
    </row>
    <row r="16" spans="1:8" ht="16.5" x14ac:dyDescent="0.35">
      <c r="A16" s="155" t="s">
        <v>14</v>
      </c>
      <c r="B16" s="156"/>
      <c r="C16" s="156"/>
      <c r="D16" s="157"/>
      <c r="E16" s="90"/>
      <c r="F16" s="87"/>
      <c r="G16" s="87"/>
      <c r="H16" s="87"/>
    </row>
    <row r="17" spans="1:8" ht="16.5" x14ac:dyDescent="0.35">
      <c r="A17" s="155" t="s">
        <v>15</v>
      </c>
      <c r="B17" s="156"/>
      <c r="C17" s="156"/>
      <c r="D17" s="157"/>
      <c r="E17" s="92"/>
      <c r="F17" s="87"/>
      <c r="G17" s="87"/>
      <c r="H17" s="87"/>
    </row>
    <row r="18" spans="1:8" ht="16.5" x14ac:dyDescent="0.35">
      <c r="A18" s="155" t="s">
        <v>16</v>
      </c>
      <c r="B18" s="156"/>
      <c r="C18" s="156"/>
      <c r="D18" s="157"/>
      <c r="E18" s="93"/>
      <c r="F18" s="87"/>
      <c r="G18" s="87"/>
      <c r="H18" s="87"/>
    </row>
    <row r="19" spans="1:8" s="95" customFormat="1" ht="16.5" x14ac:dyDescent="0.35">
      <c r="A19" s="172" t="s">
        <v>17</v>
      </c>
      <c r="B19" s="172"/>
      <c r="C19" s="172"/>
      <c r="D19" s="172"/>
      <c r="E19" s="172"/>
      <c r="F19" s="94"/>
      <c r="G19" s="94"/>
      <c r="H19" s="94"/>
    </row>
    <row r="20" spans="1:8" ht="16.5" x14ac:dyDescent="0.35">
      <c r="A20" s="173" t="s">
        <v>18</v>
      </c>
      <c r="B20" s="155" t="s">
        <v>19</v>
      </c>
      <c r="C20" s="156"/>
      <c r="D20" s="157"/>
      <c r="E20" s="96"/>
      <c r="F20" s="87"/>
      <c r="G20" s="87"/>
      <c r="H20" s="87"/>
    </row>
    <row r="21" spans="1:8" ht="16.5" x14ac:dyDescent="0.35">
      <c r="A21" s="174"/>
      <c r="B21" s="155" t="s">
        <v>71</v>
      </c>
      <c r="C21" s="156"/>
      <c r="D21" s="157"/>
      <c r="E21" s="96"/>
      <c r="F21" s="87"/>
      <c r="G21" s="87"/>
      <c r="H21" s="87"/>
    </row>
    <row r="22" spans="1:8" ht="16.5" x14ac:dyDescent="0.35">
      <c r="A22" s="174"/>
      <c r="B22" s="155" t="s">
        <v>87</v>
      </c>
      <c r="C22" s="156"/>
      <c r="D22" s="157"/>
      <c r="E22" s="96"/>
      <c r="F22" s="87"/>
      <c r="G22" s="87"/>
      <c r="H22" s="87"/>
    </row>
    <row r="23" spans="1:8" ht="16.5" x14ac:dyDescent="0.35">
      <c r="A23" s="175"/>
      <c r="B23" s="161" t="s">
        <v>21</v>
      </c>
      <c r="C23" s="162"/>
      <c r="D23" s="163"/>
      <c r="E23" s="96" t="e">
        <f>((E20*(E12-E15))/E12)+E21*E13+E22</f>
        <v>#NUM!</v>
      </c>
      <c r="F23" s="87"/>
      <c r="G23" s="87"/>
      <c r="H23" s="87"/>
    </row>
    <row r="24" spans="1:8" s="95" customFormat="1" ht="16.5" x14ac:dyDescent="0.35">
      <c r="A24" s="158" t="s">
        <v>22</v>
      </c>
      <c r="B24" s="159"/>
      <c r="C24" s="159"/>
      <c r="D24" s="159"/>
      <c r="E24" s="160"/>
      <c r="F24" s="94"/>
      <c r="G24" s="94"/>
      <c r="H24" s="94"/>
    </row>
    <row r="25" spans="1:8" ht="16.5" x14ac:dyDescent="0.35">
      <c r="A25" s="161" t="s">
        <v>23</v>
      </c>
      <c r="B25" s="162"/>
      <c r="C25" s="162"/>
      <c r="D25" s="163"/>
      <c r="E25" s="96"/>
      <c r="F25" s="87"/>
      <c r="G25" s="87"/>
      <c r="H25" s="87"/>
    </row>
    <row r="26" spans="1:8" s="95" customFormat="1" ht="16.5" x14ac:dyDescent="0.35">
      <c r="A26" s="164" t="s">
        <v>24</v>
      </c>
      <c r="B26" s="165"/>
      <c r="C26" s="165"/>
      <c r="D26" s="166"/>
      <c r="E26" s="97" t="e">
        <f>E23-E25</f>
        <v>#NUM!</v>
      </c>
      <c r="F26" s="94"/>
      <c r="G26" s="94"/>
      <c r="H26" s="94"/>
    </row>
  </sheetData>
  <mergeCells count="21">
    <mergeCell ref="A24:E24"/>
    <mergeCell ref="A25:D25"/>
    <mergeCell ref="A26:D26"/>
    <mergeCell ref="B21:D21"/>
    <mergeCell ref="B7:C7"/>
    <mergeCell ref="B8:E8"/>
    <mergeCell ref="A15:D15"/>
    <mergeCell ref="A16:D16"/>
    <mergeCell ref="A17:D17"/>
    <mergeCell ref="A18:D18"/>
    <mergeCell ref="A19:E19"/>
    <mergeCell ref="B20:D20"/>
    <mergeCell ref="B22:D22"/>
    <mergeCell ref="B23:D23"/>
    <mergeCell ref="A20:A23"/>
    <mergeCell ref="A6:E6"/>
    <mergeCell ref="A10:D10"/>
    <mergeCell ref="A11:D11"/>
    <mergeCell ref="A12:D12"/>
    <mergeCell ref="A14:D14"/>
    <mergeCell ref="A13:D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FB63-8221-477E-9079-A037BAB32E7C}">
  <dimension ref="A1:L26"/>
  <sheetViews>
    <sheetView zoomScale="70" zoomScaleNormal="70" workbookViewId="0">
      <selection activeCell="E16" sqref="E16"/>
    </sheetView>
  </sheetViews>
  <sheetFormatPr defaultColWidth="9" defaultRowHeight="14.5" x14ac:dyDescent="0.35"/>
  <cols>
    <col min="1" max="1" width="28.6328125" bestFit="1" customWidth="1"/>
    <col min="4" max="4" width="6.81640625" bestFit="1" customWidth="1"/>
    <col min="5" max="5" width="39.08984375" style="71" customWidth="1"/>
    <col min="9" max="9" width="11" customWidth="1"/>
    <col min="10" max="10" width="12.54296875" bestFit="1" customWidth="1"/>
    <col min="11" max="11" width="11.54296875" bestFit="1" customWidth="1"/>
    <col min="12" max="12" width="9.1796875" bestFit="1" customWidth="1"/>
  </cols>
  <sheetData>
    <row r="1" spans="1:12" x14ac:dyDescent="0.35">
      <c r="A1" s="1"/>
      <c r="B1" s="2" t="s">
        <v>0</v>
      </c>
      <c r="C1" s="2" t="s">
        <v>76</v>
      </c>
      <c r="D1" s="1"/>
      <c r="E1" s="61"/>
    </row>
    <row r="2" spans="1:12" x14ac:dyDescent="0.35">
      <c r="A2" s="1"/>
      <c r="B2" s="2" t="s">
        <v>2</v>
      </c>
      <c r="C2" s="2" t="s">
        <v>77</v>
      </c>
      <c r="D2" s="1"/>
      <c r="E2" s="61"/>
    </row>
    <row r="3" spans="1:12" x14ac:dyDescent="0.35">
      <c r="A3" s="1"/>
      <c r="B3" s="2" t="s">
        <v>5</v>
      </c>
      <c r="C3" s="3" t="s">
        <v>6</v>
      </c>
      <c r="D3" s="1"/>
      <c r="E3" s="61"/>
    </row>
    <row r="4" spans="1:12" ht="30" customHeight="1" x14ac:dyDescent="0.35">
      <c r="A4" s="1"/>
      <c r="B4" s="1"/>
      <c r="C4" s="1"/>
      <c r="D4" s="1"/>
      <c r="E4" s="61"/>
    </row>
    <row r="5" spans="1:12" ht="25" x14ac:dyDescent="0.35">
      <c r="A5" s="154" t="s">
        <v>7</v>
      </c>
      <c r="B5" s="154"/>
      <c r="C5" s="154"/>
      <c r="D5" s="154"/>
      <c r="E5" s="154"/>
    </row>
    <row r="6" spans="1:12" ht="16.5" x14ac:dyDescent="0.35">
      <c r="A6" s="63" t="s">
        <v>25</v>
      </c>
      <c r="B6" s="180"/>
      <c r="C6" s="180"/>
      <c r="D6" s="62" t="s">
        <v>26</v>
      </c>
      <c r="E6" s="64"/>
      <c r="F6" s="4"/>
      <c r="G6" s="4"/>
      <c r="H6" s="4"/>
    </row>
    <row r="7" spans="1:12" ht="16.5" x14ac:dyDescent="0.35">
      <c r="A7" s="5" t="s">
        <v>72</v>
      </c>
      <c r="B7" s="181" t="s">
        <v>8</v>
      </c>
      <c r="C7" s="181"/>
      <c r="D7" s="181"/>
      <c r="E7" s="181"/>
      <c r="F7" s="4"/>
      <c r="G7" s="4"/>
      <c r="H7" s="4"/>
    </row>
    <row r="8" spans="1:12" ht="16.5" x14ac:dyDescent="0.35">
      <c r="A8" s="4"/>
      <c r="B8" s="4"/>
      <c r="C8" s="4"/>
      <c r="D8" s="4"/>
      <c r="E8" s="64"/>
      <c r="F8" s="4"/>
      <c r="G8" s="4"/>
      <c r="H8" s="4"/>
    </row>
    <row r="9" spans="1:12" ht="16.5" x14ac:dyDescent="0.35">
      <c r="A9" s="183" t="s">
        <v>9</v>
      </c>
      <c r="B9" s="184"/>
      <c r="C9" s="184"/>
      <c r="D9" s="185"/>
      <c r="E9" s="7"/>
      <c r="F9" s="4"/>
      <c r="G9" s="4"/>
      <c r="H9" s="4"/>
    </row>
    <row r="10" spans="1:12" ht="16.5" x14ac:dyDescent="0.35">
      <c r="A10" s="183" t="s">
        <v>10</v>
      </c>
      <c r="B10" s="184"/>
      <c r="C10" s="184"/>
      <c r="D10" s="185"/>
      <c r="E10" s="7"/>
      <c r="F10" s="4"/>
      <c r="G10" s="4"/>
      <c r="H10" s="4"/>
      <c r="J10" s="65"/>
      <c r="K10" s="65"/>
      <c r="L10" s="65"/>
    </row>
    <row r="11" spans="1:12" ht="16.5" x14ac:dyDescent="0.35">
      <c r="A11" s="183" t="s">
        <v>15</v>
      </c>
      <c r="B11" s="184"/>
      <c r="C11" s="184"/>
      <c r="D11" s="185"/>
      <c r="E11" s="7"/>
      <c r="F11" s="4"/>
      <c r="G11" s="4"/>
      <c r="H11" s="4" t="s">
        <v>117</v>
      </c>
      <c r="I11" s="65"/>
      <c r="J11" s="66"/>
      <c r="K11" s="66"/>
      <c r="L11" s="66"/>
    </row>
    <row r="12" spans="1:12" ht="16.5" x14ac:dyDescent="0.35">
      <c r="A12" s="183" t="s">
        <v>16</v>
      </c>
      <c r="B12" s="184"/>
      <c r="C12" s="184"/>
      <c r="D12" s="185"/>
      <c r="E12" s="67"/>
      <c r="F12" s="4"/>
      <c r="G12" s="4"/>
      <c r="H12" s="4"/>
      <c r="I12" s="65"/>
      <c r="J12" s="66"/>
      <c r="K12" s="66"/>
      <c r="L12" s="66"/>
    </row>
    <row r="13" spans="1:12" s="6" customFormat="1" ht="16.5" x14ac:dyDescent="0.35">
      <c r="A13" s="187" t="s">
        <v>17</v>
      </c>
      <c r="B13" s="187"/>
      <c r="C13" s="187"/>
      <c r="D13" s="187"/>
      <c r="E13" s="187"/>
      <c r="F13" s="5"/>
      <c r="G13" s="5"/>
      <c r="H13" s="5"/>
      <c r="J13" s="68"/>
      <c r="K13" s="68"/>
      <c r="L13" s="68"/>
    </row>
    <row r="14" spans="1:12" ht="16.5" customHeight="1" x14ac:dyDescent="0.35">
      <c r="A14" s="182" t="s">
        <v>18</v>
      </c>
      <c r="B14" s="176" t="s">
        <v>78</v>
      </c>
      <c r="C14" s="176"/>
      <c r="D14" s="176"/>
      <c r="E14" s="72"/>
      <c r="F14" s="4"/>
      <c r="G14" s="4"/>
      <c r="H14" s="4"/>
      <c r="I14" s="65"/>
      <c r="J14" s="66"/>
      <c r="K14" s="66"/>
      <c r="L14" s="66"/>
    </row>
    <row r="15" spans="1:12" ht="16.5" x14ac:dyDescent="0.35">
      <c r="A15" s="182"/>
      <c r="B15" s="176" t="s">
        <v>118</v>
      </c>
      <c r="C15" s="176"/>
      <c r="D15" s="176"/>
      <c r="E15" s="73"/>
      <c r="F15" s="4"/>
      <c r="G15" s="4"/>
      <c r="H15" s="4"/>
      <c r="J15" s="68"/>
      <c r="K15" s="68"/>
      <c r="L15" s="68"/>
    </row>
    <row r="16" spans="1:12" ht="16.5" x14ac:dyDescent="0.35">
      <c r="A16" s="182"/>
      <c r="B16" s="183" t="s">
        <v>79</v>
      </c>
      <c r="C16" s="184"/>
      <c r="D16" s="185"/>
      <c r="E16" s="73"/>
      <c r="F16" s="4"/>
      <c r="G16" s="4"/>
      <c r="H16" s="4"/>
      <c r="J16" s="68"/>
      <c r="K16" s="68"/>
      <c r="L16" s="68"/>
    </row>
    <row r="17" spans="1:12" ht="16.5" x14ac:dyDescent="0.35">
      <c r="A17" s="182"/>
      <c r="B17" s="176" t="s">
        <v>80</v>
      </c>
      <c r="C17" s="176"/>
      <c r="D17" s="176"/>
      <c r="E17" s="73">
        <f>SUM(E14:E16)</f>
        <v>0</v>
      </c>
      <c r="F17" s="4"/>
      <c r="G17" s="4"/>
      <c r="H17" s="4"/>
    </row>
    <row r="18" spans="1:12" ht="16.5" x14ac:dyDescent="0.35">
      <c r="A18" s="186" t="s">
        <v>116</v>
      </c>
      <c r="B18" s="176" t="s">
        <v>81</v>
      </c>
      <c r="C18" s="176"/>
      <c r="D18" s="176"/>
      <c r="E18" s="73">
        <f>E14*8%</f>
        <v>0</v>
      </c>
      <c r="F18" s="4"/>
      <c r="G18" s="4"/>
      <c r="H18" s="4"/>
    </row>
    <row r="19" spans="1:12" ht="16.5" x14ac:dyDescent="0.35">
      <c r="A19" s="186"/>
      <c r="B19" s="176" t="s">
        <v>82</v>
      </c>
      <c r="C19" s="176"/>
      <c r="D19" s="176"/>
      <c r="E19" s="73">
        <f>E14*1.5%</f>
        <v>0</v>
      </c>
      <c r="F19" s="4"/>
      <c r="G19" s="4"/>
      <c r="H19" s="4"/>
      <c r="I19" s="65"/>
      <c r="J19" s="66"/>
      <c r="K19" s="66"/>
      <c r="L19" s="66"/>
    </row>
    <row r="20" spans="1:12" ht="16.5" x14ac:dyDescent="0.35">
      <c r="A20" s="186"/>
      <c r="B20" s="176" t="s">
        <v>83</v>
      </c>
      <c r="C20" s="176"/>
      <c r="D20" s="176"/>
      <c r="E20" s="73">
        <f>E14*1%</f>
        <v>0</v>
      </c>
      <c r="F20" s="4"/>
      <c r="G20" s="4"/>
      <c r="H20" s="4"/>
    </row>
    <row r="21" spans="1:12" ht="16.5" x14ac:dyDescent="0.35">
      <c r="A21" s="186"/>
      <c r="B21" s="176" t="s">
        <v>84</v>
      </c>
      <c r="C21" s="176"/>
      <c r="D21" s="176"/>
      <c r="E21" s="73"/>
      <c r="F21" s="4"/>
      <c r="G21" s="4"/>
      <c r="H21" s="4"/>
    </row>
    <row r="22" spans="1:12" ht="16.5" x14ac:dyDescent="0.35">
      <c r="A22" s="186"/>
      <c r="B22" s="176" t="s">
        <v>85</v>
      </c>
      <c r="C22" s="176"/>
      <c r="D22" s="176"/>
      <c r="E22" s="73">
        <f>SUM(E18:E21)</f>
        <v>0</v>
      </c>
      <c r="F22" s="4"/>
      <c r="G22" s="4"/>
      <c r="H22" s="4"/>
    </row>
    <row r="23" spans="1:12" s="6" customFormat="1" ht="16.5" x14ac:dyDescent="0.35">
      <c r="A23" s="177" t="s">
        <v>24</v>
      </c>
      <c r="B23" s="178"/>
      <c r="C23" s="178"/>
      <c r="D23" s="179"/>
      <c r="E23" s="74">
        <f>E17-E22</f>
        <v>0</v>
      </c>
      <c r="F23" s="5"/>
      <c r="G23" s="69"/>
      <c r="H23" s="5"/>
    </row>
    <row r="25" spans="1:12" x14ac:dyDescent="0.35">
      <c r="A25" s="70" t="s">
        <v>76</v>
      </c>
    </row>
    <row r="26" spans="1:12" x14ac:dyDescent="0.35">
      <c r="A26" s="70" t="s">
        <v>86</v>
      </c>
    </row>
  </sheetData>
  <mergeCells count="20">
    <mergeCell ref="A5:E5"/>
    <mergeCell ref="A9:D9"/>
    <mergeCell ref="A10:D10"/>
    <mergeCell ref="A11:D11"/>
    <mergeCell ref="A12:D12"/>
    <mergeCell ref="B22:D22"/>
    <mergeCell ref="A23:D23"/>
    <mergeCell ref="B6:C6"/>
    <mergeCell ref="B7:E7"/>
    <mergeCell ref="A14:A17"/>
    <mergeCell ref="B14:D14"/>
    <mergeCell ref="B15:D15"/>
    <mergeCell ref="B16:D16"/>
    <mergeCell ref="B17:D17"/>
    <mergeCell ref="A18:A22"/>
    <mergeCell ref="B18:D18"/>
    <mergeCell ref="B19:D19"/>
    <mergeCell ref="B20:D20"/>
    <mergeCell ref="B21:D21"/>
    <mergeCell ref="A13:E13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324B-B4FF-4119-98F2-558A38D65B72}">
  <dimension ref="A1:AK64"/>
  <sheetViews>
    <sheetView tabSelected="1" topLeftCell="A35" zoomScale="55" zoomScaleNormal="55" workbookViewId="0">
      <selection activeCell="H65" sqref="H65"/>
    </sheetView>
  </sheetViews>
  <sheetFormatPr defaultRowHeight="14.5" x14ac:dyDescent="0.35"/>
  <cols>
    <col min="1" max="1" width="16.7265625" style="17" customWidth="1"/>
    <col min="2" max="2" width="23.26953125" style="17" customWidth="1"/>
    <col min="3" max="3" width="45.81640625" style="17" customWidth="1"/>
    <col min="4" max="5" width="17.6328125" style="17" bestFit="1" customWidth="1"/>
    <col min="6" max="6" width="14.81640625" style="17" bestFit="1" customWidth="1"/>
    <col min="7" max="7" width="11.26953125" style="17" bestFit="1" customWidth="1"/>
    <col min="8" max="8" width="12.453125" style="17" bestFit="1" customWidth="1"/>
    <col min="9" max="11" width="8.7265625" style="82"/>
    <col min="12" max="12" width="6.7265625" style="82" bestFit="1" customWidth="1"/>
    <col min="13" max="13" width="20.54296875" style="82" bestFit="1" customWidth="1"/>
    <col min="14" max="14" width="10" style="82" bestFit="1" customWidth="1"/>
    <col min="15" max="15" width="17.453125" style="82" bestFit="1" customWidth="1"/>
    <col min="16" max="16" width="15.81640625" style="82" bestFit="1" customWidth="1"/>
    <col min="17" max="17" width="15.1796875" style="82" bestFit="1" customWidth="1"/>
    <col min="18" max="18" width="24.453125" style="82" bestFit="1" customWidth="1"/>
    <col min="19" max="19" width="20.36328125" style="82" bestFit="1" customWidth="1"/>
    <col min="20" max="20" width="14.26953125" style="82" bestFit="1" customWidth="1"/>
    <col min="21" max="21" width="14.90625" style="82" bestFit="1" customWidth="1"/>
    <col min="22" max="22" width="11.81640625" style="82" bestFit="1" customWidth="1"/>
    <col min="23" max="23" width="10.36328125" style="82" bestFit="1" customWidth="1"/>
    <col min="24" max="24" width="9.36328125" style="82" bestFit="1" customWidth="1"/>
    <col min="25" max="25" width="6.7265625" style="82" bestFit="1" customWidth="1"/>
    <col min="26" max="26" width="11.81640625" style="82" bestFit="1" customWidth="1"/>
    <col min="27" max="27" width="8.81640625" style="82" bestFit="1" customWidth="1"/>
    <col min="28" max="29" width="12.81640625" style="82" bestFit="1" customWidth="1"/>
    <col min="30" max="30" width="10.36328125" style="82" bestFit="1" customWidth="1"/>
    <col min="31" max="31" width="9.36328125" style="82" bestFit="1" customWidth="1"/>
    <col min="32" max="32" width="10.36328125" style="82" bestFit="1" customWidth="1"/>
    <col min="33" max="33" width="14.6328125" style="82" customWidth="1"/>
    <col min="34" max="34" width="17.453125" style="82" customWidth="1"/>
    <col min="35" max="35" width="16.81640625" style="82" customWidth="1"/>
    <col min="36" max="36" width="9.6328125" style="82" customWidth="1"/>
    <col min="37" max="16384" width="8.7265625" style="82"/>
  </cols>
  <sheetData>
    <row r="1" spans="1:37" ht="14.5" customHeight="1" x14ac:dyDescent="0.35">
      <c r="B1" s="18" t="s">
        <v>0</v>
      </c>
      <c r="C1" s="18" t="s">
        <v>1</v>
      </c>
      <c r="H1" s="19"/>
      <c r="L1" s="207" t="s">
        <v>89</v>
      </c>
      <c r="M1" s="207" t="s">
        <v>90</v>
      </c>
      <c r="N1" s="207" t="s">
        <v>91</v>
      </c>
      <c r="O1" s="207" t="s">
        <v>92</v>
      </c>
      <c r="P1" s="203" t="s">
        <v>93</v>
      </c>
      <c r="Q1" s="197" t="s">
        <v>94</v>
      </c>
      <c r="R1" s="200" t="s">
        <v>119</v>
      </c>
      <c r="S1" s="200" t="s">
        <v>95</v>
      </c>
      <c r="T1" s="200" t="s">
        <v>96</v>
      </c>
      <c r="U1" s="200" t="s">
        <v>97</v>
      </c>
      <c r="V1" s="188" t="s">
        <v>98</v>
      </c>
      <c r="W1" s="194" t="s">
        <v>99</v>
      </c>
      <c r="X1" s="195"/>
      <c r="Y1" s="195"/>
      <c r="Z1" s="195"/>
      <c r="AA1" s="196"/>
      <c r="AB1" s="194" t="s">
        <v>100</v>
      </c>
      <c r="AC1" s="196"/>
      <c r="AD1" s="194" t="s">
        <v>101</v>
      </c>
      <c r="AE1" s="195"/>
      <c r="AF1" s="195"/>
      <c r="AG1" s="195"/>
      <c r="AH1" s="195"/>
      <c r="AI1" s="195"/>
      <c r="AJ1" s="195"/>
      <c r="AK1" s="188" t="s">
        <v>102</v>
      </c>
    </row>
    <row r="2" spans="1:37" ht="14.5" customHeight="1" x14ac:dyDescent="0.35">
      <c r="B2" s="18" t="s">
        <v>2</v>
      </c>
      <c r="C2" s="18" t="s">
        <v>3</v>
      </c>
      <c r="H2" s="19"/>
      <c r="L2" s="208"/>
      <c r="M2" s="208"/>
      <c r="N2" s="208"/>
      <c r="O2" s="208"/>
      <c r="P2" s="204"/>
      <c r="Q2" s="198"/>
      <c r="R2" s="201"/>
      <c r="S2" s="201"/>
      <c r="T2" s="201"/>
      <c r="U2" s="201"/>
      <c r="V2" s="192"/>
      <c r="W2" s="99" t="s">
        <v>103</v>
      </c>
      <c r="X2" s="99" t="s">
        <v>104</v>
      </c>
      <c r="Y2" s="99" t="s">
        <v>105</v>
      </c>
      <c r="Z2" s="99" t="s">
        <v>106</v>
      </c>
      <c r="AA2" s="191" t="s">
        <v>107</v>
      </c>
      <c r="AB2" s="188" t="s">
        <v>108</v>
      </c>
      <c r="AC2" s="188" t="s">
        <v>109</v>
      </c>
      <c r="AD2" s="99" t="s">
        <v>103</v>
      </c>
      <c r="AE2" s="99" t="s">
        <v>104</v>
      </c>
      <c r="AF2" s="99" t="s">
        <v>105</v>
      </c>
      <c r="AG2" s="188" t="s">
        <v>110</v>
      </c>
      <c r="AH2" s="188" t="s">
        <v>111</v>
      </c>
      <c r="AI2" s="188" t="s">
        <v>112</v>
      </c>
      <c r="AJ2" s="188" t="s">
        <v>113</v>
      </c>
      <c r="AK2" s="189"/>
    </row>
    <row r="3" spans="1:37" x14ac:dyDescent="0.35">
      <c r="B3" s="18"/>
      <c r="C3" s="18" t="s">
        <v>4</v>
      </c>
      <c r="H3" s="19"/>
      <c r="L3" s="209"/>
      <c r="M3" s="209"/>
      <c r="N3" s="209"/>
      <c r="O3" s="209"/>
      <c r="P3" s="205"/>
      <c r="Q3" s="199"/>
      <c r="R3" s="202"/>
      <c r="S3" s="202"/>
      <c r="T3" s="202"/>
      <c r="U3" s="202"/>
      <c r="V3" s="193"/>
      <c r="W3" s="100">
        <v>0.17499999999999999</v>
      </c>
      <c r="X3" s="100">
        <v>0.03</v>
      </c>
      <c r="Y3" s="100">
        <v>0.01</v>
      </c>
      <c r="Z3" s="100">
        <v>0.02</v>
      </c>
      <c r="AA3" s="190"/>
      <c r="AB3" s="190"/>
      <c r="AC3" s="190"/>
      <c r="AD3" s="100">
        <v>0.08</v>
      </c>
      <c r="AE3" s="100">
        <v>1.4999999999999999E-2</v>
      </c>
      <c r="AF3" s="100">
        <v>0.01</v>
      </c>
      <c r="AG3" s="190"/>
      <c r="AH3" s="190"/>
      <c r="AI3" s="190"/>
      <c r="AJ3" s="190"/>
      <c r="AK3" s="190"/>
    </row>
    <row r="4" spans="1:37" ht="15" thickBot="1" x14ac:dyDescent="0.4">
      <c r="B4" s="18" t="s">
        <v>5</v>
      </c>
      <c r="C4" s="20" t="s">
        <v>6</v>
      </c>
      <c r="H4" s="19"/>
      <c r="L4" s="103">
        <v>1</v>
      </c>
      <c r="M4" s="104">
        <v>2</v>
      </c>
      <c r="N4" s="104"/>
      <c r="O4" s="103">
        <v>4</v>
      </c>
      <c r="P4" s="103"/>
      <c r="Q4" s="105"/>
      <c r="R4" s="106"/>
      <c r="S4" s="106"/>
      <c r="T4" s="106"/>
      <c r="U4" s="106"/>
      <c r="V4" s="106">
        <v>11</v>
      </c>
      <c r="W4" s="106">
        <v>12</v>
      </c>
      <c r="X4" s="106">
        <v>13</v>
      </c>
      <c r="Y4" s="106">
        <v>14</v>
      </c>
      <c r="Z4" s="106">
        <v>15</v>
      </c>
      <c r="AA4" s="106">
        <v>16</v>
      </c>
      <c r="AB4" s="106">
        <v>17</v>
      </c>
      <c r="AC4" s="106">
        <v>18</v>
      </c>
      <c r="AD4" s="106">
        <v>19</v>
      </c>
      <c r="AE4" s="106">
        <v>20</v>
      </c>
      <c r="AF4" s="106">
        <v>21</v>
      </c>
      <c r="AG4" s="106">
        <v>22</v>
      </c>
      <c r="AH4" s="106">
        <v>23</v>
      </c>
      <c r="AI4" s="107">
        <v>24</v>
      </c>
      <c r="AJ4" s="106">
        <v>25</v>
      </c>
      <c r="AK4" s="106">
        <v>27</v>
      </c>
    </row>
    <row r="5" spans="1:37" x14ac:dyDescent="0.35">
      <c r="H5" s="19"/>
      <c r="L5" s="101"/>
      <c r="M5" s="108"/>
      <c r="N5" s="108"/>
      <c r="O5" s="109">
        <v>26</v>
      </c>
      <c r="P5" s="110"/>
      <c r="Q5" s="111"/>
      <c r="R5" s="110">
        <v>0</v>
      </c>
      <c r="S5" s="110">
        <f>((P5/O5)*O5)+SUM(Q5:R5)</f>
        <v>0</v>
      </c>
      <c r="T5" s="110">
        <f>S5-Q5</f>
        <v>0</v>
      </c>
      <c r="U5" s="110">
        <v>0</v>
      </c>
      <c r="V5" s="110">
        <f>P5</f>
        <v>0</v>
      </c>
      <c r="W5" s="102">
        <f>V5*W3</f>
        <v>0</v>
      </c>
      <c r="X5" s="102">
        <f>V5*X3</f>
        <v>0</v>
      </c>
      <c r="Y5" s="102">
        <f>V5*Y3</f>
        <v>0</v>
      </c>
      <c r="Z5" s="102">
        <v>0</v>
      </c>
      <c r="AA5" s="102">
        <f>SUM(W5:Y5)</f>
        <v>0</v>
      </c>
      <c r="AB5" s="102"/>
      <c r="AC5" s="102">
        <v>15500000</v>
      </c>
      <c r="AD5" s="102">
        <f>V5*AD3</f>
        <v>0</v>
      </c>
      <c r="AE5" s="102">
        <f>V5*AE3</f>
        <v>0</v>
      </c>
      <c r="AF5" s="102">
        <f>V5*AF3</f>
        <v>0</v>
      </c>
      <c r="AG5" s="102">
        <f>SUM(AD5:AF5)</f>
        <v>0</v>
      </c>
      <c r="AH5" s="102">
        <f>MAX(T5-AB5-AC5-AG5,0)</f>
        <v>0</v>
      </c>
      <c r="AI5" s="102">
        <f>MIN(AH5,10000000)*0.05+MAX(MIN(AH5-10000000,20000000),0)*0.1+MAX(MIN(AH5-30000000,30000000),0)*0.2+MAX(MIN(AH5-60000000,40000000),0)*0.3+MAX(AH5-100000000,0)*0.35</f>
        <v>0</v>
      </c>
      <c r="AJ5" s="102">
        <v>0</v>
      </c>
      <c r="AK5" s="102">
        <f>S5+U5-AG5-AI5-AJ5</f>
        <v>0</v>
      </c>
    </row>
    <row r="6" spans="1:37" ht="25" x14ac:dyDescent="0.35">
      <c r="A6" s="145" t="s">
        <v>70</v>
      </c>
      <c r="B6" s="145"/>
      <c r="C6" s="145"/>
      <c r="D6" s="145"/>
      <c r="E6" s="145"/>
      <c r="F6" s="145"/>
      <c r="G6" s="145"/>
      <c r="H6" s="145"/>
    </row>
    <row r="7" spans="1:37" ht="16.5" x14ac:dyDescent="0.35">
      <c r="A7" s="21" t="s">
        <v>25</v>
      </c>
      <c r="B7" s="144"/>
      <c r="C7" s="144"/>
      <c r="D7" s="22" t="s">
        <v>26</v>
      </c>
      <c r="E7" s="146"/>
      <c r="F7" s="146"/>
      <c r="G7" s="146"/>
      <c r="H7" s="146"/>
      <c r="O7" s="206" t="s">
        <v>114</v>
      </c>
      <c r="P7" s="206"/>
      <c r="Q7" s="113">
        <f>AK5</f>
        <v>0</v>
      </c>
      <c r="R7" s="112"/>
    </row>
    <row r="8" spans="1:37" ht="16.5" x14ac:dyDescent="0.35">
      <c r="A8" s="21" t="s">
        <v>27</v>
      </c>
      <c r="B8" s="144"/>
      <c r="C8" s="144"/>
      <c r="D8" s="21" t="s">
        <v>28</v>
      </c>
      <c r="E8" s="144" t="s">
        <v>29</v>
      </c>
      <c r="F8" s="144"/>
      <c r="G8" s="144"/>
      <c r="H8" s="144"/>
      <c r="O8" s="206" t="s">
        <v>115</v>
      </c>
      <c r="P8" s="206"/>
      <c r="Q8" s="113">
        <f>H64-Q7</f>
        <v>0</v>
      </c>
    </row>
    <row r="9" spans="1:37" ht="16.5" x14ac:dyDescent="0.35">
      <c r="A9" s="21" t="s">
        <v>30</v>
      </c>
      <c r="B9" s="144" t="s">
        <v>31</v>
      </c>
      <c r="C9" s="144"/>
      <c r="D9" s="21" t="s">
        <v>72</v>
      </c>
      <c r="E9" s="144" t="s">
        <v>8</v>
      </c>
      <c r="F9" s="144"/>
      <c r="G9" s="144"/>
      <c r="H9" s="144"/>
    </row>
    <row r="10" spans="1:37" ht="16.5" x14ac:dyDescent="0.35">
      <c r="A10" s="21" t="s">
        <v>32</v>
      </c>
      <c r="B10" s="144"/>
      <c r="C10" s="144"/>
      <c r="D10" s="21" t="s">
        <v>16</v>
      </c>
      <c r="E10" s="144"/>
      <c r="F10" s="144"/>
      <c r="G10" s="144"/>
      <c r="H10" s="144"/>
    </row>
    <row r="11" spans="1:37" ht="17" thickBot="1" x14ac:dyDescent="0.4">
      <c r="A11" s="22">
        <v>1</v>
      </c>
      <c r="B11" s="147" t="s">
        <v>17</v>
      </c>
      <c r="C11" s="147"/>
      <c r="D11" s="147"/>
      <c r="E11" s="147"/>
      <c r="F11" s="147"/>
      <c r="G11" s="147"/>
      <c r="H11" s="147"/>
    </row>
    <row r="12" spans="1:37" ht="16.5" x14ac:dyDescent="0.35">
      <c r="A12" s="24" t="s">
        <v>33</v>
      </c>
      <c r="B12" s="153" t="s">
        <v>34</v>
      </c>
      <c r="C12" s="153"/>
      <c r="D12" s="149"/>
      <c r="E12" s="149"/>
      <c r="F12" s="149"/>
      <c r="G12" s="149"/>
      <c r="H12" s="150"/>
    </row>
    <row r="13" spans="1:37" ht="16.5" x14ac:dyDescent="0.35">
      <c r="A13" s="25" t="s">
        <v>35</v>
      </c>
      <c r="B13" s="137" t="s">
        <v>36</v>
      </c>
      <c r="C13" s="137"/>
      <c r="D13" s="138"/>
      <c r="E13" s="138"/>
      <c r="F13" s="138"/>
      <c r="G13" s="138"/>
      <c r="H13" s="139"/>
    </row>
    <row r="14" spans="1:37" ht="16.5" x14ac:dyDescent="0.35">
      <c r="A14" s="25" t="s">
        <v>37</v>
      </c>
      <c r="B14" s="137" t="s">
        <v>38</v>
      </c>
      <c r="C14" s="137"/>
      <c r="D14" s="138"/>
      <c r="E14" s="138"/>
      <c r="F14" s="138"/>
      <c r="G14" s="138"/>
      <c r="H14" s="139"/>
    </row>
    <row r="15" spans="1:37" ht="16.5" x14ac:dyDescent="0.35">
      <c r="A15" s="25" t="s">
        <v>39</v>
      </c>
      <c r="B15" s="137" t="s">
        <v>121</v>
      </c>
      <c r="C15" s="137"/>
      <c r="D15" s="138"/>
      <c r="E15" s="138"/>
      <c r="F15" s="138"/>
      <c r="G15" s="138"/>
      <c r="H15" s="139"/>
    </row>
    <row r="16" spans="1:37" ht="16.5" x14ac:dyDescent="0.35">
      <c r="A16" s="25" t="s">
        <v>41</v>
      </c>
      <c r="B16" s="137" t="s">
        <v>123</v>
      </c>
      <c r="C16" s="137"/>
      <c r="D16" s="138">
        <v>20000</v>
      </c>
      <c r="E16" s="138"/>
      <c r="F16" s="138"/>
      <c r="G16" s="138"/>
      <c r="H16" s="139"/>
    </row>
    <row r="17" spans="1:8" ht="16.5" x14ac:dyDescent="0.35">
      <c r="A17" s="25" t="s">
        <v>120</v>
      </c>
      <c r="B17" s="137" t="s">
        <v>40</v>
      </c>
      <c r="C17" s="137"/>
      <c r="D17" s="138"/>
      <c r="E17" s="138"/>
      <c r="F17" s="138"/>
      <c r="G17" s="138"/>
      <c r="H17" s="139"/>
    </row>
    <row r="18" spans="1:8" ht="17" thickBot="1" x14ac:dyDescent="0.4">
      <c r="A18" s="26" t="s">
        <v>122</v>
      </c>
      <c r="B18" s="148" t="s">
        <v>42</v>
      </c>
      <c r="C18" s="148"/>
      <c r="D18" s="151"/>
      <c r="E18" s="151"/>
      <c r="F18" s="151"/>
      <c r="G18" s="151"/>
      <c r="H18" s="152"/>
    </row>
    <row r="19" spans="1:8" ht="16.5" x14ac:dyDescent="0.35">
      <c r="A19" s="23"/>
    </row>
    <row r="20" spans="1:8" ht="16.5" x14ac:dyDescent="0.35">
      <c r="A20" s="22">
        <v>2</v>
      </c>
      <c r="B20" s="21" t="s">
        <v>43</v>
      </c>
      <c r="C20" s="23"/>
      <c r="D20" s="23"/>
      <c r="E20" s="23"/>
      <c r="F20" s="23"/>
      <c r="G20" s="23"/>
      <c r="H20" s="19"/>
    </row>
    <row r="21" spans="1:8" ht="16.5" x14ac:dyDescent="0.35">
      <c r="A21" s="27" t="s">
        <v>44</v>
      </c>
      <c r="B21" s="27" t="s">
        <v>45</v>
      </c>
      <c r="C21" s="28"/>
      <c r="D21" s="23"/>
      <c r="E21" s="23"/>
      <c r="F21" s="23"/>
      <c r="G21" s="23"/>
      <c r="H21" s="19"/>
    </row>
    <row r="22" spans="1:8" ht="16.5" x14ac:dyDescent="0.35">
      <c r="A22" s="8" t="s">
        <v>46</v>
      </c>
      <c r="B22" s="8" t="s">
        <v>47</v>
      </c>
      <c r="C22" s="8" t="s">
        <v>48</v>
      </c>
      <c r="D22" s="8" t="s">
        <v>49</v>
      </c>
      <c r="E22" s="9" t="s">
        <v>50</v>
      </c>
      <c r="F22" s="8" t="s">
        <v>51</v>
      </c>
      <c r="G22" s="8" t="s">
        <v>20</v>
      </c>
      <c r="H22" s="10" t="s">
        <v>52</v>
      </c>
    </row>
    <row r="23" spans="1:8" ht="16.5" x14ac:dyDescent="0.35">
      <c r="A23" s="29"/>
      <c r="B23" s="30"/>
      <c r="C23" s="31"/>
      <c r="D23" s="32"/>
      <c r="E23" s="32"/>
      <c r="F23" s="33"/>
      <c r="G23" s="11"/>
      <c r="H23" s="57">
        <f>G23*F23</f>
        <v>0</v>
      </c>
    </row>
    <row r="24" spans="1:8" ht="16.5" x14ac:dyDescent="0.35">
      <c r="A24" s="34"/>
      <c r="B24" s="30"/>
      <c r="C24" s="35"/>
      <c r="D24" s="36"/>
      <c r="E24" s="36"/>
      <c r="F24" s="37"/>
      <c r="G24" s="11"/>
      <c r="H24" s="57">
        <f t="shared" ref="H24:H32" si="0">G24*F24</f>
        <v>0</v>
      </c>
    </row>
    <row r="25" spans="1:8" ht="16.5" x14ac:dyDescent="0.35">
      <c r="A25" s="29"/>
      <c r="B25" s="30"/>
      <c r="C25" s="35"/>
      <c r="D25" s="38"/>
      <c r="E25" s="39"/>
      <c r="F25" s="33"/>
      <c r="G25" s="11"/>
      <c r="H25" s="57">
        <f t="shared" si="0"/>
        <v>0</v>
      </c>
    </row>
    <row r="26" spans="1:8" ht="16.5" x14ac:dyDescent="0.35">
      <c r="A26" s="29"/>
      <c r="B26" s="30"/>
      <c r="C26" s="35"/>
      <c r="D26" s="38"/>
      <c r="E26" s="39"/>
      <c r="F26" s="33"/>
      <c r="G26" s="11"/>
      <c r="H26" s="57">
        <f t="shared" si="0"/>
        <v>0</v>
      </c>
    </row>
    <row r="27" spans="1:8" ht="16.5" x14ac:dyDescent="0.35">
      <c r="A27" s="34"/>
      <c r="B27" s="30"/>
      <c r="C27" s="35"/>
      <c r="D27" s="36"/>
      <c r="E27" s="36"/>
      <c r="F27" s="37"/>
      <c r="G27" s="11"/>
      <c r="H27" s="57">
        <f>G27*F27</f>
        <v>0</v>
      </c>
    </row>
    <row r="28" spans="1:8" ht="16.5" x14ac:dyDescent="0.35">
      <c r="A28" s="29"/>
      <c r="B28" s="30"/>
      <c r="C28" s="35"/>
      <c r="D28" s="38"/>
      <c r="E28" s="39"/>
      <c r="F28" s="33"/>
      <c r="G28" s="11"/>
      <c r="H28" s="57">
        <f t="shared" si="0"/>
        <v>0</v>
      </c>
    </row>
    <row r="29" spans="1:8" ht="16.5" x14ac:dyDescent="0.35">
      <c r="A29" s="40"/>
      <c r="B29" s="30"/>
      <c r="C29" s="35"/>
      <c r="D29" s="36"/>
      <c r="E29" s="36"/>
      <c r="F29" s="37"/>
      <c r="G29" s="11"/>
      <c r="H29" s="57">
        <f t="shared" si="0"/>
        <v>0</v>
      </c>
    </row>
    <row r="30" spans="1:8" ht="16.5" x14ac:dyDescent="0.35">
      <c r="A30" s="40"/>
      <c r="B30" s="41"/>
      <c r="C30" s="35"/>
      <c r="D30" s="38"/>
      <c r="E30" s="39"/>
      <c r="F30" s="33"/>
      <c r="G30" s="11"/>
      <c r="H30" s="57">
        <f t="shared" si="0"/>
        <v>0</v>
      </c>
    </row>
    <row r="31" spans="1:8" ht="16.5" x14ac:dyDescent="0.35">
      <c r="A31" s="40"/>
      <c r="B31" s="41"/>
      <c r="C31" s="35"/>
      <c r="D31" s="38"/>
      <c r="E31" s="39"/>
      <c r="F31" s="33"/>
      <c r="G31" s="11"/>
      <c r="H31" s="57">
        <f t="shared" si="0"/>
        <v>0</v>
      </c>
    </row>
    <row r="32" spans="1:8" ht="16.5" x14ac:dyDescent="0.35">
      <c r="A32" s="40"/>
      <c r="B32" s="41"/>
      <c r="C32" s="35"/>
      <c r="D32" s="36"/>
      <c r="E32" s="36"/>
      <c r="F32" s="37"/>
      <c r="G32" s="11"/>
      <c r="H32" s="57">
        <f t="shared" si="0"/>
        <v>0</v>
      </c>
    </row>
    <row r="33" spans="1:8" ht="16.5" x14ac:dyDescent="0.35">
      <c r="A33" s="42"/>
      <c r="B33" s="133" t="s">
        <v>21</v>
      </c>
      <c r="C33" s="133"/>
      <c r="D33" s="133"/>
      <c r="E33" s="133"/>
      <c r="F33" s="13">
        <f>SUM(F23:F32)</f>
        <v>0</v>
      </c>
      <c r="G33" s="43"/>
      <c r="H33" s="58">
        <f>SUM(H23:H32)</f>
        <v>0</v>
      </c>
    </row>
    <row r="34" spans="1:8" ht="16.5" x14ac:dyDescent="0.35">
      <c r="A34" s="27" t="s">
        <v>53</v>
      </c>
      <c r="B34" s="27" t="s">
        <v>54</v>
      </c>
      <c r="C34" s="28"/>
      <c r="D34" s="23"/>
      <c r="E34" s="23"/>
      <c r="F34" s="23"/>
      <c r="G34" s="23"/>
      <c r="H34" s="19"/>
    </row>
    <row r="35" spans="1:8" ht="16.5" x14ac:dyDescent="0.35">
      <c r="A35" s="8" t="s">
        <v>46</v>
      </c>
      <c r="B35" s="8" t="s">
        <v>47</v>
      </c>
      <c r="C35" s="8" t="s">
        <v>48</v>
      </c>
      <c r="D35" s="8" t="s">
        <v>49</v>
      </c>
      <c r="E35" s="9" t="s">
        <v>50</v>
      </c>
      <c r="F35" s="8" t="s">
        <v>51</v>
      </c>
      <c r="G35" s="8" t="s">
        <v>20</v>
      </c>
      <c r="H35" s="10" t="s">
        <v>52</v>
      </c>
    </row>
    <row r="36" spans="1:8" ht="16.5" x14ac:dyDescent="0.35">
      <c r="A36" s="34"/>
      <c r="B36" s="30"/>
      <c r="C36" s="44"/>
      <c r="D36" s="38"/>
      <c r="E36" s="39"/>
      <c r="F36" s="33"/>
      <c r="G36" s="11"/>
      <c r="H36" s="12"/>
    </row>
    <row r="37" spans="1:8" ht="16.5" x14ac:dyDescent="0.35">
      <c r="A37" s="34"/>
      <c r="B37" s="30"/>
      <c r="C37" s="44"/>
      <c r="D37" s="38"/>
      <c r="E37" s="39"/>
      <c r="F37" s="33"/>
      <c r="G37" s="11"/>
      <c r="H37" s="12"/>
    </row>
    <row r="38" spans="1:8" ht="16.5" x14ac:dyDescent="0.35">
      <c r="A38" s="14"/>
      <c r="B38" s="15"/>
      <c r="C38" s="42"/>
      <c r="D38" s="45"/>
      <c r="E38" s="45"/>
      <c r="F38" s="16"/>
      <c r="G38" s="11"/>
      <c r="H38" s="12"/>
    </row>
    <row r="39" spans="1:8" ht="16.5" x14ac:dyDescent="0.35">
      <c r="A39" s="29"/>
      <c r="B39" s="30"/>
      <c r="C39" s="46"/>
      <c r="D39" s="47"/>
      <c r="E39" s="47"/>
      <c r="F39" s="48"/>
      <c r="G39" s="11"/>
      <c r="H39" s="57">
        <f t="shared" ref="H39:H40" si="1">G39*F39</f>
        <v>0</v>
      </c>
    </row>
    <row r="40" spans="1:8" ht="16.5" x14ac:dyDescent="0.35">
      <c r="A40" s="29"/>
      <c r="B40" s="30"/>
      <c r="C40" s="46"/>
      <c r="D40" s="47"/>
      <c r="E40" s="47"/>
      <c r="F40" s="48"/>
      <c r="G40" s="11"/>
      <c r="H40" s="57">
        <f t="shared" si="1"/>
        <v>0</v>
      </c>
    </row>
    <row r="41" spans="1:8" ht="16.5" x14ac:dyDescent="0.35">
      <c r="A41" s="42"/>
      <c r="B41" s="134" t="s">
        <v>55</v>
      </c>
      <c r="C41" s="135"/>
      <c r="D41" s="135"/>
      <c r="E41" s="135"/>
      <c r="F41" s="16">
        <f>SUM(F39:F40)</f>
        <v>0</v>
      </c>
      <c r="G41" s="11"/>
      <c r="H41" s="58">
        <f>SUM(H39:H40)</f>
        <v>0</v>
      </c>
    </row>
    <row r="42" spans="1:8" ht="16.5" x14ac:dyDescent="0.35">
      <c r="A42" s="27" t="s">
        <v>56</v>
      </c>
      <c r="B42" s="27" t="s">
        <v>57</v>
      </c>
      <c r="C42" s="28"/>
      <c r="D42" s="23"/>
      <c r="E42" s="23"/>
      <c r="F42" s="23"/>
      <c r="G42" s="23"/>
      <c r="H42" s="19"/>
    </row>
    <row r="43" spans="1:8" ht="16.5" x14ac:dyDescent="0.35">
      <c r="A43" s="8" t="s">
        <v>46</v>
      </c>
      <c r="B43" s="8" t="s">
        <v>47</v>
      </c>
      <c r="C43" s="8" t="s">
        <v>48</v>
      </c>
      <c r="D43" s="8" t="s">
        <v>49</v>
      </c>
      <c r="E43" s="9" t="s">
        <v>50</v>
      </c>
      <c r="F43" s="8" t="s">
        <v>51</v>
      </c>
      <c r="G43" s="8" t="s">
        <v>20</v>
      </c>
      <c r="H43" s="10" t="s">
        <v>52</v>
      </c>
    </row>
    <row r="44" spans="1:8" ht="16.5" x14ac:dyDescent="0.35">
      <c r="A44" s="29"/>
      <c r="B44" s="30"/>
      <c r="C44" s="46"/>
      <c r="D44" s="47"/>
      <c r="E44" s="47"/>
      <c r="F44" s="48"/>
      <c r="G44" s="11"/>
      <c r="H44" s="57">
        <f>G44*F44</f>
        <v>0</v>
      </c>
    </row>
    <row r="45" spans="1:8" ht="16.5" x14ac:dyDescent="0.35">
      <c r="A45" s="29"/>
      <c r="B45" s="30"/>
      <c r="C45" s="46"/>
      <c r="D45" s="47"/>
      <c r="E45" s="47"/>
      <c r="F45" s="48"/>
      <c r="G45" s="11"/>
      <c r="H45" s="57">
        <f t="shared" ref="H45" si="2">G45*F45</f>
        <v>0</v>
      </c>
    </row>
    <row r="46" spans="1:8" ht="16.5" x14ac:dyDescent="0.35">
      <c r="A46" s="134" t="s">
        <v>58</v>
      </c>
      <c r="B46" s="135"/>
      <c r="C46" s="135"/>
      <c r="D46" s="135"/>
      <c r="E46" s="136"/>
      <c r="F46" s="16">
        <f>SUM(F44:F45)</f>
        <v>0</v>
      </c>
      <c r="G46" s="60"/>
      <c r="H46" s="58">
        <f>SUM(H44:H45)</f>
        <v>0</v>
      </c>
    </row>
    <row r="47" spans="1:8" ht="16.5" x14ac:dyDescent="0.35">
      <c r="A47" s="27" t="s">
        <v>59</v>
      </c>
      <c r="B47" s="27" t="s">
        <v>60</v>
      </c>
      <c r="C47" s="28"/>
      <c r="D47" s="23"/>
      <c r="E47" s="23"/>
      <c r="F47" s="23"/>
      <c r="G47" s="23"/>
      <c r="H47" s="19"/>
    </row>
    <row r="48" spans="1:8" ht="16.5" x14ac:dyDescent="0.35">
      <c r="A48" s="8" t="s">
        <v>46</v>
      </c>
      <c r="B48" s="8" t="s">
        <v>47</v>
      </c>
      <c r="C48" s="8" t="s">
        <v>48</v>
      </c>
      <c r="D48" s="8" t="s">
        <v>49</v>
      </c>
      <c r="E48" s="9" t="s">
        <v>50</v>
      </c>
      <c r="F48" s="8" t="s">
        <v>51</v>
      </c>
      <c r="G48" s="8" t="s">
        <v>20</v>
      </c>
      <c r="H48" s="10" t="s">
        <v>52</v>
      </c>
    </row>
    <row r="49" spans="1:8" ht="16.5" x14ac:dyDescent="0.35">
      <c r="A49" s="29"/>
      <c r="B49" s="30"/>
      <c r="C49" s="46"/>
      <c r="D49" s="47"/>
      <c r="E49" s="47"/>
      <c r="F49" s="48"/>
      <c r="G49" s="11"/>
      <c r="H49" s="57">
        <f>G49*F49</f>
        <v>0</v>
      </c>
    </row>
    <row r="50" spans="1:8" ht="16.5" x14ac:dyDescent="0.35">
      <c r="A50" s="29"/>
      <c r="B50" s="30"/>
      <c r="C50" s="46"/>
      <c r="D50" s="47"/>
      <c r="E50" s="47"/>
      <c r="F50" s="48"/>
      <c r="G50" s="11"/>
      <c r="H50" s="57">
        <f t="shared" ref="H50" si="3">G50*F50</f>
        <v>0</v>
      </c>
    </row>
    <row r="51" spans="1:8" ht="16.5" x14ac:dyDescent="0.35">
      <c r="A51" s="134" t="s">
        <v>58</v>
      </c>
      <c r="B51" s="135"/>
      <c r="C51" s="135"/>
      <c r="D51" s="135"/>
      <c r="E51" s="136"/>
      <c r="F51" s="16">
        <f>SUM(F49:F50)</f>
        <v>0</v>
      </c>
      <c r="G51" s="60"/>
      <c r="H51" s="58">
        <f>SUM(H49:H50)</f>
        <v>0</v>
      </c>
    </row>
    <row r="52" spans="1:8" ht="16.5" x14ac:dyDescent="0.35">
      <c r="A52" s="27" t="s">
        <v>59</v>
      </c>
      <c r="B52" s="27" t="s">
        <v>61</v>
      </c>
      <c r="C52" s="28"/>
      <c r="D52" s="23"/>
      <c r="E52" s="23"/>
      <c r="F52" s="23"/>
      <c r="G52" s="23"/>
      <c r="H52" s="19"/>
    </row>
    <row r="53" spans="1:8" ht="16.5" x14ac:dyDescent="0.35">
      <c r="A53" s="8" t="s">
        <v>46</v>
      </c>
      <c r="B53" s="8" t="s">
        <v>47</v>
      </c>
      <c r="C53" s="8" t="s">
        <v>62</v>
      </c>
      <c r="D53" s="133" t="s">
        <v>63</v>
      </c>
      <c r="E53" s="133"/>
      <c r="F53" s="133"/>
      <c r="G53" s="133"/>
      <c r="H53" s="114" t="s">
        <v>20</v>
      </c>
    </row>
    <row r="54" spans="1:8" ht="16.5" x14ac:dyDescent="0.35">
      <c r="A54" s="8"/>
      <c r="B54" s="8"/>
      <c r="C54" s="8"/>
      <c r="D54" s="140"/>
      <c r="E54" s="141"/>
      <c r="F54" s="141"/>
      <c r="G54" s="142"/>
      <c r="H54" s="49"/>
    </row>
    <row r="55" spans="1:8" ht="16.5" x14ac:dyDescent="0.35">
      <c r="A55" s="140" t="s">
        <v>64</v>
      </c>
      <c r="B55" s="141"/>
      <c r="C55" s="141"/>
      <c r="D55" s="141"/>
      <c r="E55" s="141"/>
      <c r="F55" s="141"/>
      <c r="G55" s="142"/>
      <c r="H55" s="58">
        <f>SUM(H54)</f>
        <v>0</v>
      </c>
    </row>
    <row r="56" spans="1:8" ht="16.5" x14ac:dyDescent="0.35">
      <c r="A56" s="27" t="s">
        <v>65</v>
      </c>
      <c r="B56" s="143" t="s">
        <v>66</v>
      </c>
      <c r="C56" s="143"/>
      <c r="D56" s="50"/>
      <c r="E56" s="51"/>
      <c r="F56" s="51"/>
      <c r="G56" s="51"/>
      <c r="H56" s="52"/>
    </row>
    <row r="57" spans="1:8" ht="16.5" x14ac:dyDescent="0.35">
      <c r="A57" s="122" t="s">
        <v>19</v>
      </c>
      <c r="B57" s="123"/>
      <c r="C57" s="123"/>
      <c r="D57" s="123"/>
      <c r="E57" s="124"/>
      <c r="F57" s="116">
        <v>0</v>
      </c>
      <c r="G57" s="117"/>
      <c r="H57" s="118"/>
    </row>
    <row r="58" spans="1:8" ht="16.5" x14ac:dyDescent="0.35">
      <c r="A58" s="122" t="s">
        <v>71</v>
      </c>
      <c r="B58" s="123"/>
      <c r="C58" s="123"/>
      <c r="D58" s="123"/>
      <c r="E58" s="124"/>
      <c r="F58" s="116">
        <v>0</v>
      </c>
      <c r="G58" s="117"/>
      <c r="H58" s="118"/>
    </row>
    <row r="59" spans="1:8" ht="16.5" x14ac:dyDescent="0.35">
      <c r="A59" s="122" t="s">
        <v>51</v>
      </c>
      <c r="B59" s="123"/>
      <c r="C59" s="123"/>
      <c r="D59" s="123"/>
      <c r="E59" s="124"/>
      <c r="F59" s="116">
        <v>0</v>
      </c>
      <c r="G59" s="117"/>
      <c r="H59" s="118"/>
    </row>
    <row r="60" spans="1:8" ht="16.5" x14ac:dyDescent="0.35">
      <c r="A60" s="133" t="s">
        <v>67</v>
      </c>
      <c r="B60" s="133"/>
      <c r="C60" s="133"/>
      <c r="D60" s="133"/>
      <c r="E60" s="133"/>
      <c r="F60" s="119">
        <f>F57+F58*F59</f>
        <v>0</v>
      </c>
      <c r="G60" s="120"/>
      <c r="H60" s="121"/>
    </row>
    <row r="61" spans="1:8" ht="16.5" x14ac:dyDescent="0.35">
      <c r="A61" s="53"/>
      <c r="B61" s="50"/>
      <c r="C61" s="50"/>
      <c r="D61" s="50"/>
      <c r="E61" s="50"/>
      <c r="F61" s="51"/>
      <c r="G61" s="51"/>
      <c r="H61" s="19"/>
    </row>
    <row r="62" spans="1:8" ht="16.5" x14ac:dyDescent="0.35">
      <c r="A62" s="54">
        <v>3</v>
      </c>
      <c r="B62" s="131" t="s">
        <v>68</v>
      </c>
      <c r="C62" s="132"/>
      <c r="D62" s="125"/>
      <c r="E62" s="126"/>
      <c r="F62" s="126"/>
      <c r="G62" s="126"/>
      <c r="H62" s="127"/>
    </row>
    <row r="63" spans="1:8" ht="16.5" x14ac:dyDescent="0.35">
      <c r="A63" s="125" t="s">
        <v>23</v>
      </c>
      <c r="B63" s="126"/>
      <c r="C63" s="127"/>
      <c r="D63" s="128"/>
      <c r="E63" s="129"/>
      <c r="F63" s="129"/>
      <c r="G63" s="129"/>
      <c r="H63" s="130"/>
    </row>
    <row r="64" spans="1:8" ht="16.5" x14ac:dyDescent="0.35">
      <c r="A64" s="55">
        <v>4</v>
      </c>
      <c r="B64" s="115" t="s">
        <v>69</v>
      </c>
      <c r="C64" s="115"/>
      <c r="D64" s="56"/>
      <c r="E64" s="56"/>
      <c r="F64" s="56"/>
      <c r="G64" s="56"/>
      <c r="H64" s="59">
        <f>F60+H55+H51+H33+H41-D63+H46</f>
        <v>0</v>
      </c>
    </row>
  </sheetData>
  <mergeCells count="69">
    <mergeCell ref="A58:E58"/>
    <mergeCell ref="F58:H58"/>
    <mergeCell ref="A59:E59"/>
    <mergeCell ref="F59:H59"/>
    <mergeCell ref="B64:C64"/>
    <mergeCell ref="A60:E60"/>
    <mergeCell ref="F60:H60"/>
    <mergeCell ref="B62:C62"/>
    <mergeCell ref="D62:H62"/>
    <mergeCell ref="A63:C63"/>
    <mergeCell ref="D63:H63"/>
    <mergeCell ref="A51:E51"/>
    <mergeCell ref="D53:G53"/>
    <mergeCell ref="D54:G54"/>
    <mergeCell ref="A55:G55"/>
    <mergeCell ref="B56:C56"/>
    <mergeCell ref="B18:C18"/>
    <mergeCell ref="D18:H18"/>
    <mergeCell ref="B33:E33"/>
    <mergeCell ref="B41:E41"/>
    <mergeCell ref="A46:E46"/>
    <mergeCell ref="B12:C12"/>
    <mergeCell ref="D12:H12"/>
    <mergeCell ref="B13:C13"/>
    <mergeCell ref="B17:C17"/>
    <mergeCell ref="D17:H17"/>
    <mergeCell ref="B9:C9"/>
    <mergeCell ref="E9:H9"/>
    <mergeCell ref="B10:C10"/>
    <mergeCell ref="E10:H10"/>
    <mergeCell ref="B11:H11"/>
    <mergeCell ref="A6:H6"/>
    <mergeCell ref="B7:C7"/>
    <mergeCell ref="E7:H7"/>
    <mergeCell ref="B8:C8"/>
    <mergeCell ref="E8:H8"/>
    <mergeCell ref="P1:P3"/>
    <mergeCell ref="O8:P8"/>
    <mergeCell ref="O7:P7"/>
    <mergeCell ref="A57:E57"/>
    <mergeCell ref="F57:H57"/>
    <mergeCell ref="L1:L3"/>
    <mergeCell ref="M1:M3"/>
    <mergeCell ref="N1:N3"/>
    <mergeCell ref="O1:O3"/>
    <mergeCell ref="D13:H13"/>
    <mergeCell ref="B14:C14"/>
    <mergeCell ref="D14:H14"/>
    <mergeCell ref="B15:C15"/>
    <mergeCell ref="D15:H15"/>
    <mergeCell ref="B16:C16"/>
    <mergeCell ref="D16:H16"/>
    <mergeCell ref="V1:V3"/>
    <mergeCell ref="W1:AA1"/>
    <mergeCell ref="AB1:AC1"/>
    <mergeCell ref="AD1:AJ1"/>
    <mergeCell ref="Q1:Q3"/>
    <mergeCell ref="R1:R3"/>
    <mergeCell ref="S1:S3"/>
    <mergeCell ref="T1:T3"/>
    <mergeCell ref="U1:U3"/>
    <mergeCell ref="AK1:AK3"/>
    <mergeCell ref="AC2:AC3"/>
    <mergeCell ref="AJ2:AJ3"/>
    <mergeCell ref="AA2:AA3"/>
    <mergeCell ref="AB2:AB3"/>
    <mergeCell ref="AG2:AG3"/>
    <mergeCell ref="AH2:AH3"/>
    <mergeCell ref="AI2:AI3"/>
  </mergeCells>
  <dataValidations count="1">
    <dataValidation type="list" allowBlank="1" showErrorMessage="1" sqref="B8" xr:uid="{82479240-5D3B-410A-AD98-6642A9B2C328}">
      <formula1>#REF!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8A5E-E284-4325-8D9D-69C0CC780F2C}">
  <dimension ref="A1:AH36"/>
  <sheetViews>
    <sheetView topLeftCell="B1" zoomScale="55" zoomScaleNormal="55" workbookViewId="0">
      <selection activeCell="N9" sqref="N9"/>
    </sheetView>
  </sheetViews>
  <sheetFormatPr defaultColWidth="9" defaultRowHeight="14.5" x14ac:dyDescent="0.35"/>
  <cols>
    <col min="1" max="1" width="17.08984375" customWidth="1"/>
    <col min="4" max="4" width="11.6328125" bestFit="1" customWidth="1"/>
    <col min="5" max="5" width="57.81640625" style="71" customWidth="1"/>
    <col min="9" max="9" width="6.7265625" bestFit="1" customWidth="1"/>
    <col min="10" max="10" width="9.1796875" bestFit="1" customWidth="1"/>
    <col min="11" max="11" width="10" bestFit="1" customWidth="1"/>
    <col min="12" max="12" width="17.453125" bestFit="1" customWidth="1"/>
    <col min="13" max="13" width="15.81640625" bestFit="1" customWidth="1"/>
    <col min="14" max="14" width="15.1796875" bestFit="1" customWidth="1"/>
    <col min="15" max="15" width="15.1796875" customWidth="1"/>
    <col min="16" max="16" width="24.36328125" bestFit="1" customWidth="1"/>
    <col min="17" max="17" width="20.26953125" bestFit="1" customWidth="1"/>
    <col min="18" max="18" width="14.26953125" bestFit="1" customWidth="1"/>
    <col min="19" max="19" width="14.81640625" bestFit="1" customWidth="1"/>
    <col min="20" max="20" width="6.7265625" bestFit="1" customWidth="1"/>
    <col min="21" max="21" width="6.54296875" bestFit="1" customWidth="1"/>
    <col min="22" max="23" width="6.7265625" bestFit="1" customWidth="1"/>
    <col min="24" max="24" width="5.7265625" bestFit="1" customWidth="1"/>
    <col min="25" max="25" width="8.81640625" bestFit="1" customWidth="1"/>
    <col min="26" max="26" width="12.81640625" bestFit="1" customWidth="1"/>
    <col min="27" max="27" width="6.7265625" bestFit="1" customWidth="1"/>
    <col min="28" max="28" width="6.54296875" bestFit="1" customWidth="1"/>
    <col min="29" max="29" width="6.7265625" bestFit="1" customWidth="1"/>
    <col min="30" max="30" width="8.81640625" bestFit="1" customWidth="1"/>
    <col min="31" max="32" width="21.08984375" customWidth="1"/>
    <col min="33" max="33" width="9.08984375" customWidth="1"/>
    <col min="34" max="34" width="11.81640625" bestFit="1" customWidth="1"/>
  </cols>
  <sheetData>
    <row r="1" spans="1:34" x14ac:dyDescent="0.35">
      <c r="A1" s="79"/>
      <c r="B1" s="80" t="s">
        <v>0</v>
      </c>
      <c r="C1" s="80" t="s">
        <v>1</v>
      </c>
      <c r="D1" s="79"/>
      <c r="E1" s="81"/>
      <c r="I1" s="207" t="s">
        <v>89</v>
      </c>
      <c r="J1" s="207" t="s">
        <v>90</v>
      </c>
      <c r="K1" s="207" t="s">
        <v>91</v>
      </c>
      <c r="L1" s="207" t="s">
        <v>92</v>
      </c>
      <c r="M1" s="203" t="s">
        <v>93</v>
      </c>
      <c r="N1" s="197" t="s">
        <v>94</v>
      </c>
      <c r="O1" s="200" t="s">
        <v>119</v>
      </c>
      <c r="P1" s="200" t="s">
        <v>95</v>
      </c>
      <c r="Q1" s="200" t="s">
        <v>96</v>
      </c>
      <c r="R1" s="200" t="s">
        <v>97</v>
      </c>
      <c r="S1" s="188" t="s">
        <v>98</v>
      </c>
      <c r="T1" s="194" t="s">
        <v>99</v>
      </c>
      <c r="U1" s="195"/>
      <c r="V1" s="195"/>
      <c r="W1" s="195"/>
      <c r="X1" s="196"/>
      <c r="Y1" s="194" t="s">
        <v>100</v>
      </c>
      <c r="Z1" s="196"/>
      <c r="AA1" s="194" t="s">
        <v>101</v>
      </c>
      <c r="AB1" s="195"/>
      <c r="AC1" s="195"/>
      <c r="AD1" s="195"/>
      <c r="AE1" s="195"/>
      <c r="AF1" s="195"/>
      <c r="AG1" s="195"/>
      <c r="AH1" s="188" t="s">
        <v>102</v>
      </c>
    </row>
    <row r="2" spans="1:34" x14ac:dyDescent="0.35">
      <c r="A2" s="79"/>
      <c r="B2" s="80" t="s">
        <v>2</v>
      </c>
      <c r="C2" s="80" t="s">
        <v>3</v>
      </c>
      <c r="D2" s="79"/>
      <c r="E2" s="81"/>
      <c r="I2" s="208"/>
      <c r="J2" s="208"/>
      <c r="K2" s="208"/>
      <c r="L2" s="208"/>
      <c r="M2" s="204"/>
      <c r="N2" s="198"/>
      <c r="O2" s="201"/>
      <c r="P2" s="201"/>
      <c r="Q2" s="201"/>
      <c r="R2" s="201"/>
      <c r="S2" s="192"/>
      <c r="T2" s="99" t="s">
        <v>103</v>
      </c>
      <c r="U2" s="99" t="s">
        <v>104</v>
      </c>
      <c r="V2" s="99" t="s">
        <v>105</v>
      </c>
      <c r="W2" s="99" t="s">
        <v>106</v>
      </c>
      <c r="X2" s="191" t="s">
        <v>107</v>
      </c>
      <c r="Y2" s="188" t="s">
        <v>108</v>
      </c>
      <c r="Z2" s="188" t="s">
        <v>109</v>
      </c>
      <c r="AA2" s="99" t="s">
        <v>103</v>
      </c>
      <c r="AB2" s="99" t="s">
        <v>104</v>
      </c>
      <c r="AC2" s="99" t="s">
        <v>105</v>
      </c>
      <c r="AD2" s="188" t="s">
        <v>110</v>
      </c>
      <c r="AE2" s="188" t="s">
        <v>111</v>
      </c>
      <c r="AF2" s="188" t="s">
        <v>112</v>
      </c>
      <c r="AG2" s="188" t="s">
        <v>113</v>
      </c>
      <c r="AH2" s="189"/>
    </row>
    <row r="3" spans="1:34" x14ac:dyDescent="0.35">
      <c r="A3" s="79"/>
      <c r="B3" s="80"/>
      <c r="C3" s="80" t="s">
        <v>4</v>
      </c>
      <c r="D3" s="79"/>
      <c r="E3" s="81"/>
      <c r="I3" s="209"/>
      <c r="J3" s="209"/>
      <c r="K3" s="209"/>
      <c r="L3" s="209"/>
      <c r="M3" s="205"/>
      <c r="N3" s="199"/>
      <c r="O3" s="202"/>
      <c r="P3" s="202"/>
      <c r="Q3" s="202"/>
      <c r="R3" s="202"/>
      <c r="S3" s="193"/>
      <c r="T3" s="100">
        <v>0.17499999999999999</v>
      </c>
      <c r="U3" s="100">
        <v>0.03</v>
      </c>
      <c r="V3" s="100">
        <v>0.01</v>
      </c>
      <c r="W3" s="100">
        <v>0.02</v>
      </c>
      <c r="X3" s="190"/>
      <c r="Y3" s="190"/>
      <c r="Z3" s="190"/>
      <c r="AA3" s="100">
        <v>0.08</v>
      </c>
      <c r="AB3" s="100">
        <v>1.4999999999999999E-2</v>
      </c>
      <c r="AC3" s="100">
        <v>0.01</v>
      </c>
      <c r="AD3" s="190"/>
      <c r="AE3" s="190"/>
      <c r="AF3" s="190"/>
      <c r="AG3" s="190"/>
      <c r="AH3" s="190"/>
    </row>
    <row r="4" spans="1:34" ht="15" thickBot="1" x14ac:dyDescent="0.4">
      <c r="A4" s="79"/>
      <c r="B4" s="80" t="s">
        <v>5</v>
      </c>
      <c r="C4" s="83" t="s">
        <v>6</v>
      </c>
      <c r="D4" s="79"/>
      <c r="E4" s="81"/>
      <c r="I4" s="103">
        <v>1</v>
      </c>
      <c r="J4" s="104">
        <v>2</v>
      </c>
      <c r="K4" s="104"/>
      <c r="L4" s="103">
        <v>4</v>
      </c>
      <c r="M4" s="103"/>
      <c r="N4" s="105"/>
      <c r="O4" s="106"/>
      <c r="P4" s="106"/>
      <c r="Q4" s="106"/>
      <c r="R4" s="106"/>
      <c r="S4" s="106">
        <v>11</v>
      </c>
      <c r="T4" s="106">
        <v>12</v>
      </c>
      <c r="U4" s="106">
        <v>13</v>
      </c>
      <c r="V4" s="106">
        <v>14</v>
      </c>
      <c r="W4" s="106">
        <v>15</v>
      </c>
      <c r="X4" s="106">
        <v>16</v>
      </c>
      <c r="Y4" s="106">
        <v>17</v>
      </c>
      <c r="Z4" s="106">
        <v>18</v>
      </c>
      <c r="AA4" s="106">
        <v>19</v>
      </c>
      <c r="AB4" s="106">
        <v>20</v>
      </c>
      <c r="AC4" s="106">
        <v>21</v>
      </c>
      <c r="AD4" s="106">
        <v>22</v>
      </c>
      <c r="AE4" s="106">
        <v>23</v>
      </c>
      <c r="AF4" s="107">
        <v>24</v>
      </c>
      <c r="AG4" s="106">
        <v>25</v>
      </c>
      <c r="AH4" s="106">
        <v>27</v>
      </c>
    </row>
    <row r="5" spans="1:34" x14ac:dyDescent="0.35">
      <c r="A5" s="79"/>
      <c r="B5" s="79"/>
      <c r="C5" s="79"/>
      <c r="D5" s="79"/>
      <c r="E5" s="81"/>
      <c r="I5" s="101"/>
      <c r="J5" s="108"/>
      <c r="K5" s="108"/>
      <c r="L5" s="109">
        <v>26</v>
      </c>
      <c r="M5" s="110"/>
      <c r="N5" s="111"/>
      <c r="O5" s="110">
        <v>0</v>
      </c>
      <c r="P5" s="110">
        <f>((M5/L5)*L5)+SUM(N5:O5)</f>
        <v>0</v>
      </c>
      <c r="Q5" s="110">
        <f>P5-N5</f>
        <v>0</v>
      </c>
      <c r="R5" s="110">
        <v>0</v>
      </c>
      <c r="S5" s="110">
        <f>M5</f>
        <v>0</v>
      </c>
      <c r="T5" s="102">
        <f>S5*T3</f>
        <v>0</v>
      </c>
      <c r="U5" s="102">
        <f>S5*U3</f>
        <v>0</v>
      </c>
      <c r="V5" s="102">
        <f>S5*V3</f>
        <v>0</v>
      </c>
      <c r="W5" s="102">
        <v>0</v>
      </c>
      <c r="X5" s="102">
        <f>SUM(T5:V5)</f>
        <v>0</v>
      </c>
      <c r="Y5" s="102"/>
      <c r="Z5" s="102">
        <v>15500000</v>
      </c>
      <c r="AA5" s="102">
        <f>S5*AA3</f>
        <v>0</v>
      </c>
      <c r="AB5" s="102">
        <f>S5*AB3</f>
        <v>0</v>
      </c>
      <c r="AC5" s="102">
        <f>S5*AC3</f>
        <v>0</v>
      </c>
      <c r="AD5" s="102">
        <f>SUM(AA5:AC5)</f>
        <v>0</v>
      </c>
      <c r="AE5" s="102">
        <f>MAX(Q5-Y5-Z5-AD5,0)</f>
        <v>0</v>
      </c>
      <c r="AF5" s="102">
        <f>MIN(AE5,10000000)*0.05+MAX(MIN(AE5-10000000,20000000),0)*0.1+MAX(MIN(AE5-30000000,30000000),0)*0.2+MAX(MIN(AE5-60000000,40000000),0)*0.3+MAX(AE5-100000000,0)*0.35</f>
        <v>0</v>
      </c>
      <c r="AG5" s="102">
        <v>0</v>
      </c>
      <c r="AH5" s="102">
        <f>P5+R5-AD5-AF5-AG5</f>
        <v>0</v>
      </c>
    </row>
    <row r="6" spans="1:34" ht="25" x14ac:dyDescent="0.35">
      <c r="A6" s="154" t="s">
        <v>7</v>
      </c>
      <c r="B6" s="154"/>
      <c r="C6" s="154"/>
      <c r="D6" s="154"/>
      <c r="E6" s="154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</row>
    <row r="7" spans="1:34" ht="16.5" x14ac:dyDescent="0.35">
      <c r="A7" s="84" t="s">
        <v>74</v>
      </c>
      <c r="B7" s="167"/>
      <c r="C7" s="168"/>
      <c r="D7" s="85" t="s">
        <v>73</v>
      </c>
      <c r="E7" s="86"/>
      <c r="F7" s="4"/>
      <c r="G7" s="4"/>
      <c r="H7" s="4"/>
      <c r="I7" s="82"/>
      <c r="J7" s="82"/>
      <c r="K7" s="82"/>
      <c r="L7" s="206" t="s">
        <v>114</v>
      </c>
      <c r="M7" s="206"/>
      <c r="N7" s="113">
        <f>AH5</f>
        <v>0</v>
      </c>
      <c r="O7" s="113"/>
      <c r="P7" s="11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</row>
    <row r="8" spans="1:34" ht="16.5" x14ac:dyDescent="0.35">
      <c r="A8" s="84" t="s">
        <v>75</v>
      </c>
      <c r="B8" s="169" t="s">
        <v>8</v>
      </c>
      <c r="C8" s="170"/>
      <c r="D8" s="170"/>
      <c r="E8" s="171"/>
      <c r="F8" s="4"/>
      <c r="G8" s="4"/>
      <c r="H8" s="4"/>
      <c r="I8" s="82"/>
      <c r="J8" s="82"/>
      <c r="K8" s="82"/>
      <c r="L8" s="206" t="s">
        <v>115</v>
      </c>
      <c r="M8" s="206"/>
      <c r="N8" s="113" t="e">
        <f>E26-N7</f>
        <v>#NUM!</v>
      </c>
      <c r="O8" s="113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</row>
    <row r="9" spans="1:34" ht="16.5" x14ac:dyDescent="0.35">
      <c r="A9" s="88"/>
      <c r="B9" s="88"/>
      <c r="C9" s="88"/>
      <c r="D9" s="88"/>
      <c r="E9" s="89"/>
      <c r="F9" s="4"/>
      <c r="G9" s="4"/>
      <c r="H9" s="4"/>
    </row>
    <row r="10" spans="1:34" ht="16.5" x14ac:dyDescent="0.35">
      <c r="A10" s="155" t="s">
        <v>9</v>
      </c>
      <c r="B10" s="156"/>
      <c r="C10" s="156"/>
      <c r="D10" s="157"/>
      <c r="E10" s="90"/>
      <c r="F10" s="4"/>
      <c r="G10" s="4"/>
      <c r="H10" s="4"/>
    </row>
    <row r="11" spans="1:34" ht="16.5" x14ac:dyDescent="0.35">
      <c r="A11" s="155" t="s">
        <v>10</v>
      </c>
      <c r="B11" s="156"/>
      <c r="C11" s="156"/>
      <c r="D11" s="157"/>
      <c r="E11" s="90"/>
      <c r="F11" s="4"/>
      <c r="G11" s="4"/>
      <c r="H11" s="4"/>
    </row>
    <row r="12" spans="1:34" ht="16.5" x14ac:dyDescent="0.35">
      <c r="A12" s="155" t="s">
        <v>11</v>
      </c>
      <c r="B12" s="156"/>
      <c r="C12" s="156"/>
      <c r="D12" s="157"/>
      <c r="E12" s="91" t="e">
        <f>DAY(EOMONTH(DATE(E7,B7,1),0))</f>
        <v>#NUM!</v>
      </c>
      <c r="F12" s="4"/>
      <c r="G12" s="4"/>
      <c r="H12" s="4"/>
    </row>
    <row r="13" spans="1:34" ht="16.5" x14ac:dyDescent="0.35">
      <c r="A13" s="155" t="s">
        <v>88</v>
      </c>
      <c r="B13" s="156"/>
      <c r="C13" s="156"/>
      <c r="D13" s="157"/>
      <c r="E13" s="90"/>
      <c r="F13" s="4"/>
      <c r="G13" s="4"/>
      <c r="H13" s="4"/>
    </row>
    <row r="14" spans="1:34" ht="16.5" x14ac:dyDescent="0.35">
      <c r="A14" s="155" t="s">
        <v>12</v>
      </c>
      <c r="B14" s="156"/>
      <c r="C14" s="156"/>
      <c r="D14" s="157"/>
      <c r="E14" s="90"/>
      <c r="F14" s="4"/>
      <c r="G14" s="4"/>
      <c r="H14" s="4"/>
    </row>
    <row r="15" spans="1:34" ht="16.5" x14ac:dyDescent="0.35">
      <c r="A15" s="155" t="s">
        <v>13</v>
      </c>
      <c r="B15" s="156"/>
      <c r="C15" s="156"/>
      <c r="D15" s="157"/>
      <c r="E15" s="90"/>
      <c r="F15" s="4"/>
      <c r="G15" s="4"/>
      <c r="H15" s="4"/>
    </row>
    <row r="16" spans="1:34" ht="16.5" x14ac:dyDescent="0.35">
      <c r="A16" s="155" t="s">
        <v>14</v>
      </c>
      <c r="B16" s="156"/>
      <c r="C16" s="156"/>
      <c r="D16" s="157"/>
      <c r="E16" s="90"/>
      <c r="F16" s="4"/>
      <c r="G16" s="4"/>
      <c r="H16" s="4"/>
    </row>
    <row r="17" spans="1:8" ht="16.5" x14ac:dyDescent="0.35">
      <c r="A17" s="155" t="s">
        <v>15</v>
      </c>
      <c r="B17" s="156"/>
      <c r="C17" s="156"/>
      <c r="D17" s="157"/>
      <c r="E17" s="92"/>
      <c r="F17" s="4"/>
      <c r="G17" s="4"/>
      <c r="H17" s="4"/>
    </row>
    <row r="18" spans="1:8" s="6" customFormat="1" ht="16.5" x14ac:dyDescent="0.35">
      <c r="A18" s="155" t="s">
        <v>16</v>
      </c>
      <c r="B18" s="156"/>
      <c r="C18" s="156"/>
      <c r="D18" s="157"/>
      <c r="E18" s="93"/>
      <c r="F18" s="5"/>
      <c r="G18" s="5"/>
      <c r="H18" s="5"/>
    </row>
    <row r="19" spans="1:8" ht="16.5" customHeight="1" x14ac:dyDescent="0.35">
      <c r="A19" s="172" t="s">
        <v>17</v>
      </c>
      <c r="B19" s="172"/>
      <c r="C19" s="172"/>
      <c r="D19" s="172"/>
      <c r="E19" s="172"/>
      <c r="F19" s="4"/>
      <c r="G19" s="4"/>
      <c r="H19" s="4"/>
    </row>
    <row r="20" spans="1:8" ht="16.5" x14ac:dyDescent="0.35">
      <c r="A20" s="173" t="s">
        <v>18</v>
      </c>
      <c r="B20" s="155" t="s">
        <v>19</v>
      </c>
      <c r="C20" s="156"/>
      <c r="D20" s="157"/>
      <c r="E20" s="96"/>
      <c r="F20" s="4"/>
      <c r="G20" s="4"/>
      <c r="H20" s="4"/>
    </row>
    <row r="21" spans="1:8" ht="16.5" x14ac:dyDescent="0.35">
      <c r="A21" s="174"/>
      <c r="B21" s="155" t="s">
        <v>71</v>
      </c>
      <c r="C21" s="156"/>
      <c r="D21" s="157"/>
      <c r="E21" s="96"/>
      <c r="F21" s="4"/>
      <c r="G21" s="4"/>
      <c r="H21" s="4"/>
    </row>
    <row r="22" spans="1:8" ht="16.5" x14ac:dyDescent="0.35">
      <c r="A22" s="174"/>
      <c r="B22" s="155" t="s">
        <v>87</v>
      </c>
      <c r="C22" s="156"/>
      <c r="D22" s="157"/>
      <c r="E22" s="96"/>
      <c r="F22" s="4"/>
      <c r="G22" s="4"/>
      <c r="H22" s="4"/>
    </row>
    <row r="23" spans="1:8" s="6" customFormat="1" ht="16.5" x14ac:dyDescent="0.35">
      <c r="A23" s="175"/>
      <c r="B23" s="161" t="s">
        <v>21</v>
      </c>
      <c r="C23" s="162"/>
      <c r="D23" s="163"/>
      <c r="E23" s="96" t="e">
        <f>((E20*(E12-E15))/E12)+E21*E13+E22</f>
        <v>#NUM!</v>
      </c>
      <c r="F23" s="5"/>
      <c r="G23" s="5"/>
      <c r="H23" s="5"/>
    </row>
    <row r="24" spans="1:8" ht="16.5" customHeight="1" x14ac:dyDescent="0.35">
      <c r="A24" s="158" t="s">
        <v>22</v>
      </c>
      <c r="B24" s="159"/>
      <c r="C24" s="159"/>
      <c r="D24" s="159"/>
      <c r="E24" s="160"/>
      <c r="F24" s="4"/>
      <c r="G24" s="4"/>
      <c r="H24" s="4"/>
    </row>
    <row r="25" spans="1:8" s="6" customFormat="1" ht="16.5" x14ac:dyDescent="0.35">
      <c r="A25" s="161" t="s">
        <v>23</v>
      </c>
      <c r="B25" s="162"/>
      <c r="C25" s="162"/>
      <c r="D25" s="163"/>
      <c r="E25" s="96"/>
      <c r="F25" s="5"/>
      <c r="G25" s="69"/>
      <c r="H25" s="5"/>
    </row>
    <row r="26" spans="1:8" ht="16.5" x14ac:dyDescent="0.35">
      <c r="A26" s="164" t="s">
        <v>24</v>
      </c>
      <c r="B26" s="165"/>
      <c r="C26" s="165"/>
      <c r="D26" s="166"/>
      <c r="E26" s="97" t="e">
        <f>E23-E25</f>
        <v>#NUM!</v>
      </c>
    </row>
    <row r="35" spans="1:4" ht="16.5" x14ac:dyDescent="0.35">
      <c r="A35" s="75"/>
      <c r="B35" s="76"/>
      <c r="C35" s="76"/>
      <c r="D35" s="77"/>
    </row>
    <row r="36" spans="1:4" ht="16.5" x14ac:dyDescent="0.35">
      <c r="A36" s="75"/>
      <c r="B36" s="76"/>
      <c r="C36" s="76"/>
      <c r="D36" s="78"/>
    </row>
  </sheetData>
  <mergeCells count="45">
    <mergeCell ref="A16:D16"/>
    <mergeCell ref="A17:D17"/>
    <mergeCell ref="A18:D18"/>
    <mergeCell ref="B22:D22"/>
    <mergeCell ref="A25:D25"/>
    <mergeCell ref="B20:D20"/>
    <mergeCell ref="B21:D21"/>
    <mergeCell ref="A19:E19"/>
    <mergeCell ref="A20:A23"/>
    <mergeCell ref="B23:D23"/>
    <mergeCell ref="A24:E24"/>
    <mergeCell ref="A26:D26"/>
    <mergeCell ref="I1:I3"/>
    <mergeCell ref="J1:J3"/>
    <mergeCell ref="K1:K3"/>
    <mergeCell ref="L1:L3"/>
    <mergeCell ref="L7:M7"/>
    <mergeCell ref="L8:M8"/>
    <mergeCell ref="A6:E6"/>
    <mergeCell ref="A10:D10"/>
    <mergeCell ref="A11:D11"/>
    <mergeCell ref="A12:D12"/>
    <mergeCell ref="A13:D13"/>
    <mergeCell ref="B7:C7"/>
    <mergeCell ref="B8:E8"/>
    <mergeCell ref="A14:D14"/>
    <mergeCell ref="A15:D15"/>
    <mergeCell ref="M1:M3"/>
    <mergeCell ref="N1:N3"/>
    <mergeCell ref="P1:P3"/>
    <mergeCell ref="Q1:Q3"/>
    <mergeCell ref="R1:R3"/>
    <mergeCell ref="O1:O3"/>
    <mergeCell ref="S1:S3"/>
    <mergeCell ref="T1:X1"/>
    <mergeCell ref="Y1:Z1"/>
    <mergeCell ref="AA1:AG1"/>
    <mergeCell ref="AH1:AH3"/>
    <mergeCell ref="X2:X3"/>
    <mergeCell ref="Y2:Y3"/>
    <mergeCell ref="Z2:Z3"/>
    <mergeCell ref="AD2:AD3"/>
    <mergeCell ref="AE2:AE3"/>
    <mergeCell ref="AF2:AF3"/>
    <mergeCell ref="AG2:A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GV</vt:lpstr>
      <vt:lpstr>VP</vt:lpstr>
      <vt:lpstr>CK</vt:lpstr>
      <vt:lpstr>GV_BH</vt:lpstr>
      <vt:lpstr>VP_BH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Dat</dc:creator>
  <cp:lastModifiedBy>Nguyen Tan Dat</cp:lastModifiedBy>
  <dcterms:created xsi:type="dcterms:W3CDTF">2026-10-02T07:04:07Z</dcterms:created>
  <dcterms:modified xsi:type="dcterms:W3CDTF">2026-10-05T04:04:33Z</dcterms:modified>
</cp:coreProperties>
</file>